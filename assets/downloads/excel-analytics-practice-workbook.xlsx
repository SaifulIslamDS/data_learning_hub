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49baa19cd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27ba0fab690a48c0"/>
    <x:sheet xmlns:r="http://schemas.openxmlformats.org/officeDocument/2006/relationships" name="Raw_Sales" sheetId="2" r:id="R147811739e4245eb"/>
    <x:sheet xmlns:r="http://schemas.openxmlformats.org/officeDocument/2006/relationships" name="Lookup_Tables" sheetId="3" r:id="R0b339eba46a74418"/>
    <x:sheet xmlns:r="http://schemas.openxmlformats.org/officeDocument/2006/relationships" name="Formula_Practice" sheetId="4" r:id="R0c3d6ad2f8e74266"/>
    <x:sheet xmlns:r="http://schemas.openxmlformats.org/officeDocument/2006/relationships" name="Cleaning_Practice" sheetId="5" r:id="R846b814356c9494e"/>
    <x:sheet xmlns:r="http://schemas.openxmlformats.org/officeDocument/2006/relationships" name="Pivot_Practice" sheetId="6" r:id="R56c4a2af22724d8a"/>
    <x:sheet xmlns:r="http://schemas.openxmlformats.org/officeDocument/2006/relationships" name="Dashboard_Brief" sheetId="7" r:id="R2bbcd8672fdc4995"/>
    <x:sheet xmlns:r="http://schemas.openxmlformats.org/officeDocument/2006/relationships" name="Answer_Guide" sheetId="8" r:id="Rd7555030b38c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719cae8ec4044" /><Relationship Type="http://schemas.openxmlformats.org/officeDocument/2006/relationships/theme" Target="/xl/theme/theme1.xml" Id="R1790f4fc5a2f4ca2" /><Relationship Type="http://schemas.openxmlformats.org/officeDocument/2006/relationships/sharedStrings" Target="/xl/sharedStrings.xml" Id="R02931e3a8a464f71" /><Relationship Type="http://schemas.openxmlformats.org/officeDocument/2006/relationships/worksheet" Target="/xl/worksheets/sheet1.xml" Id="R27ba0fab690a48c0" /><Relationship Type="http://schemas.openxmlformats.org/officeDocument/2006/relationships/worksheet" Target="/xl/worksheets/sheet2.xml" Id="R147811739e4245eb" /><Relationship Type="http://schemas.openxmlformats.org/officeDocument/2006/relationships/worksheet" Target="/xl/worksheets/sheet3.xml" Id="R0b339eba46a74418" /><Relationship Type="http://schemas.openxmlformats.org/officeDocument/2006/relationships/worksheet" Target="/xl/worksheets/sheet4.xml" Id="R0c3d6ad2f8e74266" /><Relationship Type="http://schemas.openxmlformats.org/officeDocument/2006/relationships/worksheet" Target="/xl/worksheets/sheet5.xml" Id="R846b814356c9494e" /><Relationship Type="http://schemas.openxmlformats.org/officeDocument/2006/relationships/worksheet" Target="/xl/worksheets/sheet6.xml" Id="R56c4a2af22724d8a" /><Relationship Type="http://schemas.openxmlformats.org/officeDocument/2006/relationships/worksheet" Target="/xl/worksheets/sheet7.xml" Id="R2bbcd8672fdc4995" /><Relationship Type="http://schemas.openxmlformats.org/officeDocument/2006/relationships/worksheet" Target="/xl/worksheets/sheet8.xml" Id="Rd7555030b38c4a88" /></Relationships>
</file>

<file path=xl/tables/table1.xml><?xml version="1.0" encoding="utf-8"?>
<x:table xmlns:x="http://schemas.openxmlformats.org/spreadsheetml/2006/main" id="1" name="RawSalesTable" displayName="RawSalesTable" ref="A1:L241" headerRowCount="1">
  <x:tableColumns count="12">
    <x:tableColumn id="1" name="Transaction ID"/>
    <x:tableColumn id="2" name="Order Date"/>
    <x:tableColumn id="3" name="Region"/>
    <x:tableColumn id="4" name="Channel"/>
    <x:tableColumn id="5" name="Product"/>
    <x:tableColumn id="6" name="Category"/>
    <x:tableColumn id="7" name="Quantity"/>
    <x:tableColumn id="8" name="Unit Price (BDT)"/>
    <x:tableColumn id="9" name="Discount Rate"/>
    <x:tableColumn id="10" name="Revenue (BDT)"/>
    <x:tableColumn id="11" name="Cost (BDT)"/>
    <x:tableColumn id="12" name="Profit (BDT)"/>
  </x:tableColumns>
  <x:tableStyleInfo name="TableStyleMedium2" showRowStripes="1"/>
</x:table>
</file>

<file path=xl/tables/table2.xml><?xml version="1.0" encoding="utf-8"?>
<x:table xmlns:x="http://schemas.openxmlformats.org/spreadsheetml/2006/main" id="2" name="ProductLookupTable" displayName="ProductLookupTable" ref="A1:C7" headerRowCount="1">
  <x:tableColumns count="3">
    <x:tableColumn id="1" name="Product"/>
    <x:tableColumn id="2" name="Category"/>
    <x:tableColumn id="3" name="Standard Unit Price (BDT)"/>
  </x:tableColumns>
  <x:tableStyleInfo name="TableStyleMedium2" showRowStripes="1"/>
</x:table>
</file>

<file path=xl/tables/table3.xml><?xml version="1.0" encoding="utf-8"?>
<x:table xmlns:x="http://schemas.openxmlformats.org/spreadsheetml/2006/main" id="3" name="RegionTargetTable" displayName="RegionTargetTable" ref="E1:F5" headerRowCount="1">
  <x:tableColumns count="2">
    <x:tableColumn id="1" name="Region"/>
    <x:tableColumn id="2" name="Target Revenue (BDT)"/>
  </x:tableColumns>
  <x:tableStyleInfo name="TableStyleMedium2" showRowStripes="1"/>
</x:table>
</file>

<file path=xl/tables/table4.xml><?xml version="1.0" encoding="utf-8"?>
<x:table xmlns:x="http://schemas.openxmlformats.org/spreadsheetml/2006/main" id="4" name="PivotSalesTable" displayName="PivotSalesTable" ref="A1:L241" headerRowCount="1">
  <x:tableColumns count="12">
    <x:tableColumn id="1" name="Transaction ID"/>
    <x:tableColumn id="2" name="Order Date"/>
    <x:tableColumn id="3" name="Region"/>
    <x:tableColumn id="4" name="Channel"/>
    <x:tableColumn id="5" name="Product"/>
    <x:tableColumn id="6" name="Category"/>
    <x:tableColumn id="7" name="Quantity"/>
    <x:tableColumn id="8" name="Unit Price (BDT)"/>
    <x:tableColumn id="9" name="Discount Rate"/>
    <x:tableColumn id="10" name="Revenue (BDT)"/>
    <x:tableColumn id="11" name="Cost (BDT)"/>
    <x:tableColumn id="12" name="Profit (BDT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acf9aa01f5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b314c17e3d40de" /><Relationship Type="http://schemas.openxmlformats.org/officeDocument/2006/relationships/table" Target="/xl/tables/table3.xml" Id="R767661b29b9b4f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e58f1cf1ad24d7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4" t="str">
        <x:v>Data Learning Hub — Excel for Data Analytics Practice Workbook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3">
      <x:c r="A3" s="15"/>
      <x:c r="B3" s="15"/>
      <x:c r="C3" s="15"/>
      <x:c r="D3" s="15"/>
      <x:c r="E3" s="15"/>
      <x:c r="F3" s="15"/>
    </x:row>
    <x:row r="4">
      <x:c r="A4" s="16" t="str">
        <x:v>Course release</x:v>
      </x:c>
      <x:c r="B4" s="15" t="str">
        <x:v>v2.2.0</x:v>
      </x:c>
      <x:c r="C4" s="15"/>
      <x:c r="D4" s="15"/>
      <x:c r="E4" s="15"/>
      <x:c r="F4" s="15"/>
    </x:row>
    <x:row r="5">
      <x:c r="A5" s="16" t="str">
        <x:v>Purpose</x:v>
      </x:c>
      <x:c r="B5" s="15" t="str">
        <x:v>Practice formulas, cleaning, lookups, analysis, controls, and dashboard planning.</x:v>
      </x:c>
      <x:c r="C5" s="15"/>
      <x:c r="D5" s="15"/>
      <x:c r="E5" s="15"/>
      <x:c r="F5" s="15"/>
    </x:row>
    <x:row r="6">
      <x:c r="A6" s="16" t="str">
        <x:v>Recommended Excel</x:v>
      </x:c>
      <x:c r="B6" s="15" t="str">
        <x:v>Excel for Microsoft 365</x:v>
      </x:c>
      <x:c r="C6" s="15"/>
      <x:c r="D6" s="15"/>
      <x:c r="E6" s="15"/>
      <x:c r="F6" s="15"/>
    </x:row>
    <x:row r="7">
      <x:c r="A7" s="16" t="str">
        <x:v>Raw data sheet</x:v>
      </x:c>
      <x:c r="B7" s="15" t="str">
        <x:v>Raw_Sales</x:v>
      </x:c>
      <x:c r="C7" s="15"/>
      <x:c r="D7" s="15"/>
      <x:c r="E7" s="15"/>
      <x:c r="F7" s="15"/>
    </x:row>
    <x:row r="8">
      <x:c r="A8" s="16" t="str">
        <x:v>Formula exercises</x:v>
      </x:c>
      <x:c r="B8" s="15" t="str">
        <x:v>Formula_Practice</x:v>
      </x:c>
      <x:c r="C8" s="15"/>
      <x:c r="D8" s="15"/>
      <x:c r="E8" s="15"/>
      <x:c r="F8" s="15"/>
    </x:row>
    <x:row r="9">
      <x:c r="A9" s="16" t="str">
        <x:v>Lookup exercises</x:v>
      </x:c>
      <x:c r="B9" s="15" t="str">
        <x:v>Lookup_Tables</x:v>
      </x:c>
      <x:c r="C9" s="15"/>
      <x:c r="D9" s="15"/>
      <x:c r="E9" s="15"/>
      <x:c r="F9" s="15"/>
    </x:row>
    <x:row r="10">
      <x:c r="A10" s="16" t="str">
        <x:v>Cleaning exercises</x:v>
      </x:c>
      <x:c r="B10" s="15" t="str">
        <x:v>Cleaning_Practice</x:v>
      </x:c>
      <x:c r="C10" s="15"/>
      <x:c r="D10" s="15"/>
      <x:c r="E10" s="15"/>
      <x:c r="F10" s="15"/>
    </x:row>
    <x:row r="11">
      <x:c r="A11" s="16" t="str">
        <x:v>Pivot source</x:v>
      </x:c>
      <x:c r="B11" s="15" t="str">
        <x:v>Pivot_Practice</x:v>
      </x:c>
      <x:c r="C11" s="15"/>
      <x:c r="D11" s="15"/>
      <x:c r="E11" s="15"/>
      <x:c r="F11" s="15"/>
    </x:row>
    <x:row r="12">
      <x:c r="A12" s="16" t="str">
        <x:v>Final project</x:v>
      </x:c>
      <x:c r="B12" s="15" t="str">
        <x:v>Dashboard_Brief</x:v>
      </x:c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6" t="str">
        <x:v>How to use this workbook</x:v>
      </x:c>
      <x:c r="B14" s="16"/>
      <x:c r="C14" s="16"/>
      <x:c r="D14" s="16"/>
      <x:c r="E14" s="16"/>
      <x:c r="F14" s="16"/>
    </x:row>
    <x:row r="15">
      <x:c r="A15" s="15" t="str">
        <x:v>1</x:v>
      </x:c>
      <x:c r="B15" s="15" t="str">
        <x:v>Start with the tutorial chapter and reproduce the example here.</x:v>
      </x:c>
      <x:c r="C15" s="15"/>
      <x:c r="D15" s="15"/>
      <x:c r="E15" s="15"/>
      <x:c r="F15" s="15"/>
    </x:row>
    <x:row r="16">
      <x:c r="A16" s="15" t="str">
        <x:v>2</x:v>
      </x:c>
      <x:c r="B16" s="15" t="str">
        <x:v>Keep Raw_Sales unchanged; perform transformations in a copy or Power Query.</x:v>
      </x:c>
      <x:c r="C16" s="15"/>
      <x:c r="D16" s="15"/>
      <x:c r="E16" s="15"/>
      <x:c r="F16" s="15"/>
    </x:row>
    <x:row r="17">
      <x:c r="A17" s="15" t="str">
        <x:v>3</x:v>
      </x:c>
      <x:c r="B17" s="15" t="str">
        <x:v>Check totals before and after sorting, filtering, merging, or cleaning.</x:v>
      </x:c>
      <x:c r="C17" s="15"/>
      <x:c r="D17" s="15"/>
      <x:c r="E17" s="15"/>
      <x:c r="F17" s="15"/>
    </x:row>
    <x:row r="18">
      <x:c r="A18" s="15" t="str">
        <x:v>4</x:v>
      </x:c>
      <x:c r="B18" s="15" t="str">
        <x:v>Document every assumption in the Notes cells.</x:v>
      </x:c>
      <x:c r="C18" s="15"/>
      <x:c r="D18" s="15"/>
      <x:c r="E18" s="15"/>
      <x:c r="F18" s="15"/>
    </x:row>
    <x:row r="19">
      <x:c r="A19" s="15" t="str">
        <x:v>5</x:v>
      </x:c>
      <x:c r="B19" s="15" t="str">
        <x:v>Use Dashboard_Brief for the final portfolio project.</x:v>
      </x:c>
      <x:c r="C19" s="15"/>
      <x:c r="D19" s="15"/>
      <x:c r="E19" s="15"/>
      <x:c r="F19" s="15"/>
    </x:row>
    <x:row r="20">
      <x:c r="A20" s="15" t="str">
        <x:v>Privacy</x:v>
      </x:c>
      <x:c r="B20" s="15" t="str">
        <x:v>All included data is synthetic and created for practice.</x:v>
      </x:c>
      <x:c r="C20" s="15"/>
      <x:c r="D20" s="15"/>
      <x:c r="E20" s="15"/>
      <x:c r="F20" s="15"/>
    </x:row>
  </x:sheetData>
  <x:mergeCells>
    <x:mergeCell ref="A1:F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2" hidden="0" customWidth="1"/>
    <x:col min="5" max="5" width="18" hidden="0" customWidth="1"/>
    <x:col min="6" max="6" width="15" hidden="0" customWidth="1"/>
    <x:col min="7" max="7" width="10" hidden="0" customWidth="1"/>
    <x:col min="8" max="8" width="15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3" t="str">
        <x:v>Transaction ID</x:v>
      </x:c>
      <x:c r="B1" s="23" t="str">
        <x:v>Order Date</x:v>
      </x:c>
      <x:c r="C1" s="23" t="str">
        <x:v>Region</x:v>
      </x:c>
      <x:c r="D1" s="23" t="str">
        <x:v>Channel</x:v>
      </x:c>
      <x:c r="E1" s="23" t="str">
        <x:v>Product</x:v>
      </x:c>
      <x:c r="F1" s="23" t="str">
        <x:v>Category</x:v>
      </x:c>
      <x:c r="G1" s="23" t="str">
        <x:v>Quantity</x:v>
      </x:c>
      <x:c r="H1" s="23" t="str">
        <x:v>Unit Price (BDT)</x:v>
      </x:c>
      <x:c r="I1" s="23" t="str">
        <x:v>Discount Rate</x:v>
      </x:c>
      <x:c r="J1" s="23" t="str">
        <x:v>Revenue (BDT)</x:v>
      </x:c>
      <x:c r="K1" s="23" t="str">
        <x:v>Cost (BDT)</x:v>
      </x:c>
      <x:c r="L1" s="23" t="str">
        <x:v>Profit (BDT)</x:v>
      </x:c>
    </x:row>
    <x:row r="2">
      <x:c r="A2" t="str">
        <x:v>TX-0001</x:v>
      </x:c>
      <x:c r="B2" s="28" t="n">
        <x:v>46023</x:v>
      </x:c>
      <x:c r="C2" t="str">
        <x:v>Dhaka</x:v>
      </x:c>
      <x:c r="D2" t="str">
        <x:v>Store</x:v>
      </x:c>
      <x:c r="E2" t="str">
        <x:v>T-Shirt</x:v>
      </x:c>
      <x:c r="F2" t="str">
        <x:v>Apparel</x:v>
      </x:c>
      <x:c r="G2" t="n">
        <x:v>2</x:v>
      </x:c>
      <x:c r="H2" s="30" t="n">
        <x:v>650</x:v>
      </x:c>
      <x:c r="I2" s="32" t="n">
        <x:v>0.15</x:v>
      </x:c>
      <x:c r="J2" s="30" t="n">
        <x:v>1105</x:v>
      </x:c>
      <x:c r="K2" s="30" t="n">
        <x:v>720</x:v>
      </x:c>
      <x:c r="L2" s="30" t="n">
        <x:v>385</x:v>
      </x:c>
    </x:row>
    <x:row r="3">
      <x:c r="A3" t="str">
        <x:v>TX-0002</x:v>
      </x:c>
      <x:c r="B3" s="28" t="n">
        <x:v>46023</x:v>
      </x:c>
      <x:c r="C3" t="str">
        <x:v>Chattogram</x:v>
      </x:c>
      <x:c r="D3" t="str">
        <x:v>Store</x:v>
      </x:c>
      <x:c r="E3" t="str">
        <x:v>T-Shirt</x:v>
      </x:c>
      <x:c r="F3" t="str">
        <x:v>Apparel</x:v>
      </x:c>
      <x:c r="G3" t="n">
        <x:v>8</x:v>
      </x:c>
      <x:c r="H3" s="30" t="n">
        <x:v>650</x:v>
      </x:c>
      <x:c r="I3" s="32" t="n">
        <x:v>0</x:v>
      </x:c>
      <x:c r="J3" s="30" t="n">
        <x:v>5200</x:v>
      </x:c>
      <x:c r="K3" s="30" t="n">
        <x:v>2880</x:v>
      </x:c>
      <x:c r="L3" s="30" t="n">
        <x:v>2320</x:v>
      </x:c>
    </x:row>
    <x:row r="4">
      <x:c r="A4" t="str">
        <x:v>TX-0003</x:v>
      </x:c>
      <x:c r="B4" s="28" t="n">
        <x:v>46024</x:v>
      </x:c>
      <x:c r="C4" t="str">
        <x:v>Rajshahi</x:v>
      </x:c>
      <x:c r="D4" t="str">
        <x:v>Store</x:v>
      </x:c>
      <x:c r="E4" t="str">
        <x:v>Sneakers</x:v>
      </x:c>
      <x:c r="F4" t="str">
        <x:v>Footwear</x:v>
      </x:c>
      <x:c r="G4" t="n">
        <x:v>1</x:v>
      </x:c>
      <x:c r="H4" s="30" t="n">
        <x:v>2400</x:v>
      </x:c>
      <x:c r="I4" s="32" t="n">
        <x:v>0.1</x:v>
      </x:c>
      <x:c r="J4" s="30" t="n">
        <x:v>2160</x:v>
      </x:c>
      <x:c r="K4" s="30" t="n">
        <x:v>1550</x:v>
      </x:c>
      <x:c r="L4" s="30" t="n">
        <x:v>610</x:v>
      </x:c>
    </x:row>
    <x:row r="5">
      <x:c r="A5" t="str">
        <x:v>TX-0004</x:v>
      </x:c>
      <x:c r="B5" s="28" t="n">
        <x:v>46024</x:v>
      </x:c>
      <x:c r="C5" t="str">
        <x:v>Khulna</x:v>
      </x:c>
      <x:c r="D5" t="str">
        <x:v>Online</x:v>
      </x:c>
      <x:c r="E5" t="str">
        <x:v>Backpack</x:v>
      </x:c>
      <x:c r="F5" t="str">
        <x:v>Accessories</x:v>
      </x:c>
      <x:c r="G5" t="n">
        <x:v>6</x:v>
      </x:c>
      <x:c r="H5" s="30" t="n">
        <x:v>1800</x:v>
      </x:c>
      <x:c r="I5" s="32" t="n">
        <x:v>0.1</x:v>
      </x:c>
      <x:c r="J5" s="30" t="n">
        <x:v>9720</x:v>
      </x:c>
      <x:c r="K5" s="30" t="n">
        <x:v>6720</x:v>
      </x:c>
      <x:c r="L5" s="30" t="n">
        <x:v>3000</x:v>
      </x:c>
    </x:row>
    <x:row r="6">
      <x:c r="A6" t="str">
        <x:v>TX-0005</x:v>
      </x:c>
      <x:c r="B6" s="28" t="n">
        <x:v>46025</x:v>
      </x:c>
      <x:c r="C6" t="str">
        <x:v>Dhaka</x:v>
      </x:c>
      <x:c r="D6" t="str">
        <x:v>Online</x:v>
      </x:c>
      <x:c r="E6" t="str">
        <x:v>Polo Shirt</x:v>
      </x:c>
      <x:c r="F6" t="str">
        <x:v>Apparel</x:v>
      </x:c>
      <x:c r="G6" t="n">
        <x:v>1</x:v>
      </x:c>
      <x:c r="H6" s="30" t="n">
        <x:v>1200</x:v>
      </x:c>
      <x:c r="I6" s="32" t="n">
        <x:v>0.05</x:v>
      </x:c>
      <x:c r="J6" s="30" t="n">
        <x:v>1140</x:v>
      </x:c>
      <x:c r="K6" s="30" t="n">
        <x:v>720</x:v>
      </x:c>
      <x:c r="L6" s="30" t="n">
        <x:v>420</x:v>
      </x:c>
    </x:row>
    <x:row r="7">
      <x:c r="A7" t="str">
        <x:v>TX-0006</x:v>
      </x:c>
      <x:c r="B7" s="28" t="n">
        <x:v>46025</x:v>
      </x:c>
      <x:c r="C7" t="str">
        <x:v>Chattogram</x:v>
      </x:c>
      <x:c r="D7" t="str">
        <x:v>Online</x:v>
      </x:c>
      <x:c r="E7" t="str">
        <x:v>Formal Shirt</x:v>
      </x:c>
      <x:c r="F7" t="str">
        <x:v>Apparel</x:v>
      </x:c>
      <x:c r="G7" t="n">
        <x:v>4</x:v>
      </x:c>
      <x:c r="H7" s="30" t="n">
        <x:v>1450</x:v>
      </x:c>
      <x:c r="I7" s="32" t="n">
        <x:v>0</x:v>
      </x:c>
      <x:c r="J7" s="30" t="n">
        <x:v>5800</x:v>
      </x:c>
      <x:c r="K7" s="30" t="n">
        <x:v>3520</x:v>
      </x:c>
      <x:c r="L7" s="30" t="n">
        <x:v>2280</x:v>
      </x:c>
    </x:row>
    <x:row r="8">
      <x:c r="A8" t="str">
        <x:v>TX-0007</x:v>
      </x:c>
      <x:c r="B8" s="28" t="n">
        <x:v>46026</x:v>
      </x:c>
      <x:c r="C8" t="str">
        <x:v>Rajshahi</x:v>
      </x:c>
      <x:c r="D8" t="str">
        <x:v>Partner</x:v>
      </x:c>
      <x:c r="E8" t="str">
        <x:v>Polo Shirt</x:v>
      </x:c>
      <x:c r="F8" t="str">
        <x:v>Apparel</x:v>
      </x:c>
      <x:c r="G8" t="n">
        <x:v>6</x:v>
      </x:c>
      <x:c r="H8" s="30" t="n">
        <x:v>1200</x:v>
      </x:c>
      <x:c r="I8" s="32" t="n">
        <x:v>0.15</x:v>
      </x:c>
      <x:c r="J8" s="30" t="n">
        <x:v>6120</x:v>
      </x:c>
      <x:c r="K8" s="30" t="n">
        <x:v>4320</x:v>
      </x:c>
      <x:c r="L8" s="30" t="n">
        <x:v>1800</x:v>
      </x:c>
    </x:row>
    <x:row r="9">
      <x:c r="A9" t="str">
        <x:v>TX-0008</x:v>
      </x:c>
      <x:c r="B9" s="28" t="n">
        <x:v>46026</x:v>
      </x:c>
      <x:c r="C9" t="str">
        <x:v>Khulna</x:v>
      </x:c>
      <x:c r="D9" t="str">
        <x:v>Partner</x:v>
      </x:c>
      <x:c r="E9" t="str">
        <x:v>Notebook Set</x:v>
      </x:c>
      <x:c r="F9" t="str">
        <x:v>Stationery</x:v>
      </x:c>
      <x:c r="G9" t="n">
        <x:v>5</x:v>
      </x:c>
      <x:c r="H9" s="30" t="n">
        <x:v>320</x:v>
      </x:c>
      <x:c r="I9" s="32" t="n">
        <x:v>0</x:v>
      </x:c>
      <x:c r="J9" s="30" t="n">
        <x:v>1600</x:v>
      </x:c>
      <x:c r="K9" s="30" t="n">
        <x:v>850</x:v>
      </x:c>
      <x:c r="L9" s="30" t="n">
        <x:v>750</x:v>
      </x:c>
    </x:row>
    <x:row r="10">
      <x:c r="A10" t="str">
        <x:v>TX-0009</x:v>
      </x:c>
      <x:c r="B10" s="28" t="n">
        <x:v>46027</x:v>
      </x:c>
      <x:c r="C10" t="str">
        <x:v>Dhaka</x:v>
      </x:c>
      <x:c r="D10" t="str">
        <x:v>Partner</x:v>
      </x:c>
      <x:c r="E10" t="str">
        <x:v>Sneakers</x:v>
      </x:c>
      <x:c r="F10" t="str">
        <x:v>Footwear</x:v>
      </x:c>
      <x:c r="G10" t="n">
        <x:v>4</x:v>
      </x:c>
      <x:c r="H10" s="30" t="n">
        <x:v>2400</x:v>
      </x:c>
      <x:c r="I10" s="32" t="n">
        <x:v>0</x:v>
      </x:c>
      <x:c r="J10" s="30" t="n">
        <x:v>9600</x:v>
      </x:c>
      <x:c r="K10" s="30" t="n">
        <x:v>6200</x:v>
      </x:c>
      <x:c r="L10" s="30" t="n">
        <x:v>3400</x:v>
      </x:c>
    </x:row>
    <x:row r="11">
      <x:c r="A11" t="str">
        <x:v>TX-0010</x:v>
      </x:c>
      <x:c r="B11" s="28" t="n">
        <x:v>46027</x:v>
      </x:c>
      <x:c r="C11" t="str">
        <x:v>Chattogram</x:v>
      </x:c>
      <x:c r="D11" t="str">
        <x:v>Store</x:v>
      </x:c>
      <x:c r="E11" t="str">
        <x:v>Sneakers</x:v>
      </x:c>
      <x:c r="F11" t="str">
        <x:v>Footwear</x:v>
      </x:c>
      <x:c r="G11" t="n">
        <x:v>4</x:v>
      </x:c>
      <x:c r="H11" s="30" t="n">
        <x:v>2400</x:v>
      </x:c>
      <x:c r="I11" s="32" t="n">
        <x:v>0</x:v>
      </x:c>
      <x:c r="J11" s="30" t="n">
        <x:v>9600</x:v>
      </x:c>
      <x:c r="K11" s="30" t="n">
        <x:v>6200</x:v>
      </x:c>
      <x:c r="L11" s="30" t="n">
        <x:v>3400</x:v>
      </x:c>
    </x:row>
    <x:row r="12">
      <x:c r="A12" t="str">
        <x:v>TX-0011</x:v>
      </x:c>
      <x:c r="B12" s="28" t="n">
        <x:v>46028</x:v>
      </x:c>
      <x:c r="C12" t="str">
        <x:v>Rajshahi</x:v>
      </x:c>
      <x:c r="D12" t="str">
        <x:v>Store</x:v>
      </x:c>
      <x:c r="E12" t="str">
        <x:v>T-Shirt</x:v>
      </x:c>
      <x:c r="F12" t="str">
        <x:v>Apparel</x:v>
      </x:c>
      <x:c r="G12" t="n">
        <x:v>3</x:v>
      </x:c>
      <x:c r="H12" s="30" t="n">
        <x:v>650</x:v>
      </x:c>
      <x:c r="I12" s="32" t="n">
        <x:v>0.05</x:v>
      </x:c>
      <x:c r="J12" s="30" t="n">
        <x:v>1852.5</x:v>
      </x:c>
      <x:c r="K12" s="30" t="n">
        <x:v>1080</x:v>
      </x:c>
      <x:c r="L12" s="30" t="n">
        <x:v>772.5</x:v>
      </x:c>
    </x:row>
    <x:row r="13">
      <x:c r="A13" t="str">
        <x:v>TX-0012</x:v>
      </x:c>
      <x:c r="B13" s="28" t="n">
        <x:v>46028</x:v>
      </x:c>
      <x:c r="C13" t="str">
        <x:v>Khulna</x:v>
      </x:c>
      <x:c r="D13" t="str">
        <x:v>Store</x:v>
      </x:c>
      <x:c r="E13" t="str">
        <x:v>Sneakers</x:v>
      </x:c>
      <x:c r="F13" t="str">
        <x:v>Footwear</x:v>
      </x:c>
      <x:c r="G13" t="n">
        <x:v>8</x:v>
      </x:c>
      <x:c r="H13" s="30" t="n">
        <x:v>2400</x:v>
      </x:c>
      <x:c r="I13" s="32" t="n">
        <x:v>0.05</x:v>
      </x:c>
      <x:c r="J13" s="30" t="n">
        <x:v>18240</x:v>
      </x:c>
      <x:c r="K13" s="30" t="n">
        <x:v>12400</x:v>
      </x:c>
      <x:c r="L13" s="30" t="n">
        <x:v>5840</x:v>
      </x:c>
    </x:row>
    <x:row r="14">
      <x:c r="A14" t="str">
        <x:v>TX-0013</x:v>
      </x:c>
      <x:c r="B14" s="28" t="n">
        <x:v>46029</x:v>
      </x:c>
      <x:c r="C14" t="str">
        <x:v>Dhaka</x:v>
      </x:c>
      <x:c r="D14" t="str">
        <x:v>Online</x:v>
      </x:c>
      <x:c r="E14" t="str">
        <x:v>Formal Shirt</x:v>
      </x:c>
      <x:c r="F14" t="str">
        <x:v>Apparel</x:v>
      </x:c>
      <x:c r="G14" t="n">
        <x:v>6</x:v>
      </x:c>
      <x:c r="H14" s="30" t="n">
        <x:v>1450</x:v>
      </x:c>
      <x:c r="I14" s="32" t="n">
        <x:v>0.05</x:v>
      </x:c>
      <x:c r="J14" s="30" t="n">
        <x:v>8265</x:v>
      </x:c>
      <x:c r="K14" s="30" t="n">
        <x:v>5280</x:v>
      </x:c>
      <x:c r="L14" s="30" t="n">
        <x:v>2985</x:v>
      </x:c>
    </x:row>
    <x:row r="15">
      <x:c r="A15" t="str">
        <x:v>TX-0014</x:v>
      </x:c>
      <x:c r="B15" s="28" t="n">
        <x:v>46029</x:v>
      </x:c>
      <x:c r="C15" t="str">
        <x:v>Chattogram</x:v>
      </x:c>
      <x:c r="D15" t="str">
        <x:v>Online</x:v>
      </x:c>
      <x:c r="E15" t="str">
        <x:v>Polo Shirt</x:v>
      </x:c>
      <x:c r="F15" t="str">
        <x:v>Apparel</x:v>
      </x:c>
      <x:c r="G15" t="n">
        <x:v>4</x:v>
      </x:c>
      <x:c r="H15" s="30" t="n">
        <x:v>1200</x:v>
      </x:c>
      <x:c r="I15" s="32" t="n">
        <x:v>0.15</x:v>
      </x:c>
      <x:c r="J15" s="30" t="n">
        <x:v>4080</x:v>
      </x:c>
      <x:c r="K15" s="30" t="n">
        <x:v>2880</x:v>
      </x:c>
      <x:c r="L15" s="30" t="n">
        <x:v>1200</x:v>
      </x:c>
    </x:row>
    <x:row r="16">
      <x:c r="A16" t="str">
        <x:v>TX-0015</x:v>
      </x:c>
      <x:c r="B16" s="28" t="n">
        <x:v>46030</x:v>
      </x:c>
      <x:c r="C16" t="str">
        <x:v>Rajshahi</x:v>
      </x:c>
      <x:c r="D16" t="str">
        <x:v>Online</x:v>
      </x:c>
      <x:c r="E16" t="str">
        <x:v>Sneakers</x:v>
      </x:c>
      <x:c r="F16" t="str">
        <x:v>Footwear</x:v>
      </x:c>
      <x:c r="G16" t="n">
        <x:v>3</x:v>
      </x:c>
      <x:c r="H16" s="30" t="n">
        <x:v>2400</x:v>
      </x:c>
      <x:c r="I16" s="32" t="n">
        <x:v>0.1</x:v>
      </x:c>
      <x:c r="J16" s="30" t="n">
        <x:v>6480</x:v>
      </x:c>
      <x:c r="K16" s="30" t="n">
        <x:v>4650</x:v>
      </x:c>
      <x:c r="L16" s="30" t="n">
        <x:v>1830</x:v>
      </x:c>
    </x:row>
    <x:row r="17">
      <x:c r="A17" t="str">
        <x:v>TX-0016</x:v>
      </x:c>
      <x:c r="B17" s="28" t="n">
        <x:v>46030</x:v>
      </x:c>
      <x:c r="C17" t="str">
        <x:v>Khulna</x:v>
      </x:c>
      <x:c r="D17" t="str">
        <x:v>Partner</x:v>
      </x:c>
      <x:c r="E17" t="str">
        <x:v>Polo Shirt</x:v>
      </x:c>
      <x:c r="F17" t="str">
        <x:v>Apparel</x:v>
      </x:c>
      <x:c r="G17" t="n">
        <x:v>2</x:v>
      </x:c>
      <x:c r="H17" s="30" t="n">
        <x:v>1200</x:v>
      </x:c>
      <x:c r="I17" s="32" t="n">
        <x:v>0.05</x:v>
      </x:c>
      <x:c r="J17" s="30" t="n">
        <x:v>2280</x:v>
      </x:c>
      <x:c r="K17" s="30" t="n">
        <x:v>1440</x:v>
      </x:c>
      <x:c r="L17" s="30" t="n">
        <x:v>840</x:v>
      </x:c>
    </x:row>
    <x:row r="18">
      <x:c r="A18" t="str">
        <x:v>TX-0017</x:v>
      </x:c>
      <x:c r="B18" s="28" t="n">
        <x:v>46031</x:v>
      </x:c>
      <x:c r="C18" t="str">
        <x:v>Dhaka</x:v>
      </x:c>
      <x:c r="D18" t="str">
        <x:v>Partner</x:v>
      </x:c>
      <x:c r="E18" t="str">
        <x:v>Notebook Set</x:v>
      </x:c>
      <x:c r="F18" t="str">
        <x:v>Stationery</x:v>
      </x:c>
      <x:c r="G18" t="n">
        <x:v>2</x:v>
      </x:c>
      <x:c r="H18" s="30" t="n">
        <x:v>320</x:v>
      </x:c>
      <x:c r="I18" s="32" t="n">
        <x:v>0</x:v>
      </x:c>
      <x:c r="J18" s="30" t="n">
        <x:v>640</x:v>
      </x:c>
      <x:c r="K18" s="30" t="n">
        <x:v>340</x:v>
      </x:c>
      <x:c r="L18" s="30" t="n">
        <x:v>300</x:v>
      </x:c>
    </x:row>
    <x:row r="19">
      <x:c r="A19" t="str">
        <x:v>TX-0018</x:v>
      </x:c>
      <x:c r="B19" s="28" t="n">
        <x:v>46031</x:v>
      </x:c>
      <x:c r="C19" t="str">
        <x:v>Chattogram</x:v>
      </x:c>
      <x:c r="D19" t="str">
        <x:v>Partner</x:v>
      </x:c>
      <x:c r="E19" t="str">
        <x:v>Notebook Set</x:v>
      </x:c>
      <x:c r="F19" t="str">
        <x:v>Stationery</x:v>
      </x:c>
      <x:c r="G19" t="n">
        <x:v>4</x:v>
      </x:c>
      <x:c r="H19" s="30" t="n">
        <x:v>320</x:v>
      </x:c>
      <x:c r="I19" s="32" t="n">
        <x:v>0.05</x:v>
      </x:c>
      <x:c r="J19" s="30" t="n">
        <x:v>1216</x:v>
      </x:c>
      <x:c r="K19" s="30" t="n">
        <x:v>680</x:v>
      </x:c>
      <x:c r="L19" s="30" t="n">
        <x:v>536</x:v>
      </x:c>
    </x:row>
    <x:row r="20">
      <x:c r="A20" t="str">
        <x:v>TX-0019</x:v>
      </x:c>
      <x:c r="B20" s="28" t="n">
        <x:v>46032</x:v>
      </x:c>
      <x:c r="C20" t="str">
        <x:v>Rajshahi</x:v>
      </x:c>
      <x:c r="D20" t="str">
        <x:v>Store</x:v>
      </x:c>
      <x:c r="E20" t="str">
        <x:v>Notebook Set</x:v>
      </x:c>
      <x:c r="F20" t="str">
        <x:v>Stationery</x:v>
      </x:c>
      <x:c r="G20" t="n">
        <x:v>1</x:v>
      </x:c>
      <x:c r="H20" s="30" t="n">
        <x:v>320</x:v>
      </x:c>
      <x:c r="I20" s="32" t="n">
        <x:v>0.1</x:v>
      </x:c>
      <x:c r="J20" s="30" t="n">
        <x:v>288</x:v>
      </x:c>
      <x:c r="K20" s="30" t="n">
        <x:v>170</x:v>
      </x:c>
      <x:c r="L20" s="30" t="n">
        <x:v>118</x:v>
      </x:c>
    </x:row>
    <x:row r="21">
      <x:c r="A21" t="str">
        <x:v>TX-0020</x:v>
      </x:c>
      <x:c r="B21" s="28" t="n">
        <x:v>46032</x:v>
      </x:c>
      <x:c r="C21" t="str">
        <x:v>Khulna</x:v>
      </x:c>
      <x:c r="D21" t="str">
        <x:v>Store</x:v>
      </x:c>
      <x:c r="E21" t="str">
        <x:v>T-Shirt</x:v>
      </x:c>
      <x:c r="F21" t="str">
        <x:v>Apparel</x:v>
      </x:c>
      <x:c r="G21" t="n">
        <x:v>1</x:v>
      </x:c>
      <x:c r="H21" s="30" t="n">
        <x:v>650</x:v>
      </x:c>
      <x:c r="I21" s="32" t="n">
        <x:v>0</x:v>
      </x:c>
      <x:c r="J21" s="30" t="n">
        <x:v>650</x:v>
      </x:c>
      <x:c r="K21" s="30" t="n">
        <x:v>360</x:v>
      </x:c>
      <x:c r="L21" s="30" t="n">
        <x:v>290</x:v>
      </x:c>
    </x:row>
    <x:row r="22">
      <x:c r="A22" t="str">
        <x:v>TX-0021</x:v>
      </x:c>
      <x:c r="B22" s="28" t="n">
        <x:v>46033</x:v>
      </x:c>
      <x:c r="C22" t="str">
        <x:v>Dhaka</x:v>
      </x:c>
      <x:c r="D22" t="str">
        <x:v>Store</x:v>
      </x:c>
      <x:c r="E22" t="str">
        <x:v>Backpack</x:v>
      </x:c>
      <x:c r="F22" t="str">
        <x:v>Accessories</x:v>
      </x:c>
      <x:c r="G22" t="n">
        <x:v>6</x:v>
      </x:c>
      <x:c r="H22" s="30" t="n">
        <x:v>1800</x:v>
      </x:c>
      <x:c r="I22" s="32" t="n">
        <x:v>0</x:v>
      </x:c>
      <x:c r="J22" s="30" t="n">
        <x:v>10800</x:v>
      </x:c>
      <x:c r="K22" s="30" t="n">
        <x:v>6720</x:v>
      </x:c>
      <x:c r="L22" s="30" t="n">
        <x:v>4080</x:v>
      </x:c>
    </x:row>
    <x:row r="23">
      <x:c r="A23" t="str">
        <x:v>TX-0022</x:v>
      </x:c>
      <x:c r="B23" s="28" t="n">
        <x:v>46033</x:v>
      </x:c>
      <x:c r="C23" t="str">
        <x:v>Chattogram</x:v>
      </x:c>
      <x:c r="D23" t="str">
        <x:v>Online</x:v>
      </x:c>
      <x:c r="E23" t="str">
        <x:v>T-Shirt</x:v>
      </x:c>
      <x:c r="F23" t="str">
        <x:v>Apparel</x:v>
      </x:c>
      <x:c r="G23" t="n">
        <x:v>5</x:v>
      </x:c>
      <x:c r="H23" s="30" t="n">
        <x:v>650</x:v>
      </x:c>
      <x:c r="I23" s="32" t="n">
        <x:v>0</x:v>
      </x:c>
      <x:c r="J23" s="30" t="n">
        <x:v>3250</x:v>
      </x:c>
      <x:c r="K23" s="30" t="n">
        <x:v>1800</x:v>
      </x:c>
      <x:c r="L23" s="30" t="n">
        <x:v>1450</x:v>
      </x:c>
    </x:row>
    <x:row r="24">
      <x:c r="A24" t="str">
        <x:v>TX-0023</x:v>
      </x:c>
      <x:c r="B24" s="28" t="n">
        <x:v>46034</x:v>
      </x:c>
      <x:c r="C24" t="str">
        <x:v>Rajshahi</x:v>
      </x:c>
      <x:c r="D24" t="str">
        <x:v>Online</x:v>
      </x:c>
      <x:c r="E24" t="str">
        <x:v>Polo Shirt</x:v>
      </x:c>
      <x:c r="F24" t="str">
        <x:v>Apparel</x:v>
      </x:c>
      <x:c r="G24" t="n">
        <x:v>7</x:v>
      </x:c>
      <x:c r="H24" s="30" t="n">
        <x:v>1200</x:v>
      </x:c>
      <x:c r="I24" s="32" t="n">
        <x:v>0</x:v>
      </x:c>
      <x:c r="J24" s="30" t="n">
        <x:v>8400</x:v>
      </x:c>
      <x:c r="K24" s="30" t="n">
        <x:v>5040</x:v>
      </x:c>
      <x:c r="L24" s="30" t="n">
        <x:v>3360</x:v>
      </x:c>
    </x:row>
    <x:row r="25">
      <x:c r="A25" t="str">
        <x:v>TX-0024</x:v>
      </x:c>
      <x:c r="B25" s="28" t="n">
        <x:v>46034</x:v>
      </x:c>
      <x:c r="C25" t="str">
        <x:v>Khulna</x:v>
      </x:c>
      <x:c r="D25" t="str">
        <x:v>Online</x:v>
      </x:c>
      <x:c r="E25" t="str">
        <x:v>Backpack</x:v>
      </x:c>
      <x:c r="F25" t="str">
        <x:v>Accessories</x:v>
      </x:c>
      <x:c r="G25" t="n">
        <x:v>2</x:v>
      </x:c>
      <x:c r="H25" s="30" t="n">
        <x:v>1800</x:v>
      </x:c>
      <x:c r="I25" s="32" t="n">
        <x:v>0.15</x:v>
      </x:c>
      <x:c r="J25" s="30" t="n">
        <x:v>3060</x:v>
      </x:c>
      <x:c r="K25" s="30" t="n">
        <x:v>2240</x:v>
      </x:c>
      <x:c r="L25" s="30" t="n">
        <x:v>820</x:v>
      </x:c>
    </x:row>
    <x:row r="26">
      <x:c r="A26" t="str">
        <x:v>TX-0025</x:v>
      </x:c>
      <x:c r="B26" s="28" t="n">
        <x:v>46035</x:v>
      </x:c>
      <x:c r="C26" t="str">
        <x:v>Dhaka</x:v>
      </x:c>
      <x:c r="D26" t="str">
        <x:v>Partner</x:v>
      </x:c>
      <x:c r="E26" t="str">
        <x:v>Sneakers</x:v>
      </x:c>
      <x:c r="F26" t="str">
        <x:v>Footwear</x:v>
      </x:c>
      <x:c r="G26" t="n">
        <x:v>2</x:v>
      </x:c>
      <x:c r="H26" s="30" t="n">
        <x:v>2400</x:v>
      </x:c>
      <x:c r="I26" s="32" t="n">
        <x:v>0</x:v>
      </x:c>
      <x:c r="J26" s="30" t="n">
        <x:v>4800</x:v>
      </x:c>
      <x:c r="K26" s="30" t="n">
        <x:v>3100</x:v>
      </x:c>
      <x:c r="L26" s="30" t="n">
        <x:v>1700</x:v>
      </x:c>
    </x:row>
    <x:row r="27">
      <x:c r="A27" t="str">
        <x:v>TX-0026</x:v>
      </x:c>
      <x:c r="B27" s="28" t="n">
        <x:v>46035</x:v>
      </x:c>
      <x:c r="C27" t="str">
        <x:v>Chattogram</x:v>
      </x:c>
      <x:c r="D27" t="str">
        <x:v>Partner</x:v>
      </x:c>
      <x:c r="E27" t="str">
        <x:v>Sneakers</x:v>
      </x:c>
      <x:c r="F27" t="str">
        <x:v>Footwear</x:v>
      </x:c>
      <x:c r="G27" t="n">
        <x:v>1</x:v>
      </x:c>
      <x:c r="H27" s="30" t="n">
        <x:v>2400</x:v>
      </x:c>
      <x:c r="I27" s="32" t="n">
        <x:v>0.05</x:v>
      </x:c>
      <x:c r="J27" s="30" t="n">
        <x:v>2280</x:v>
      </x:c>
      <x:c r="K27" s="30" t="n">
        <x:v>1550</x:v>
      </x:c>
      <x:c r="L27" s="30" t="n">
        <x:v>730</x:v>
      </x:c>
    </x:row>
    <x:row r="28">
      <x:c r="A28" t="str">
        <x:v>TX-0027</x:v>
      </x:c>
      <x:c r="B28" s="28" t="n">
        <x:v>46036</x:v>
      </x:c>
      <x:c r="C28" t="str">
        <x:v>Rajshahi</x:v>
      </x:c>
      <x:c r="D28" t="str">
        <x:v>Partner</x:v>
      </x:c>
      <x:c r="E28" t="str">
        <x:v>T-Shirt</x:v>
      </x:c>
      <x:c r="F28" t="str">
        <x:v>Apparel</x:v>
      </x:c>
      <x:c r="G28" t="n">
        <x:v>1</x:v>
      </x:c>
      <x:c r="H28" s="30" t="n">
        <x:v>650</x:v>
      </x:c>
      <x:c r="I28" s="32" t="n">
        <x:v>0.1</x:v>
      </x:c>
      <x:c r="J28" s="30" t="n">
        <x:v>585</x:v>
      </x:c>
      <x:c r="K28" s="30" t="n">
        <x:v>360</x:v>
      </x:c>
      <x:c r="L28" s="30" t="n">
        <x:v>225</x:v>
      </x:c>
    </x:row>
    <x:row r="29">
      <x:c r="A29" t="str">
        <x:v>TX-0028</x:v>
      </x:c>
      <x:c r="B29" s="28" t="n">
        <x:v>46036</x:v>
      </x:c>
      <x:c r="C29" t="str">
        <x:v>Khulna</x:v>
      </x:c>
      <x:c r="D29" t="str">
        <x:v>Store</x:v>
      </x:c>
      <x:c r="E29" t="str">
        <x:v>Polo Shirt</x:v>
      </x:c>
      <x:c r="F29" t="str">
        <x:v>Apparel</x:v>
      </x:c>
      <x:c r="G29" t="n">
        <x:v>2</x:v>
      </x:c>
      <x:c r="H29" s="30" t="n">
        <x:v>1200</x:v>
      </x:c>
      <x:c r="I29" s="32" t="n">
        <x:v>0</x:v>
      </x:c>
      <x:c r="J29" s="30" t="n">
        <x:v>2400</x:v>
      </x:c>
      <x:c r="K29" s="30" t="n">
        <x:v>1440</x:v>
      </x:c>
      <x:c r="L29" s="30" t="n">
        <x:v>960</x:v>
      </x:c>
    </x:row>
    <x:row r="30">
      <x:c r="A30" t="str">
        <x:v>TX-0029</x:v>
      </x:c>
      <x:c r="B30" s="28" t="n">
        <x:v>46037</x:v>
      </x:c>
      <x:c r="C30" t="str">
        <x:v>Dhaka</x:v>
      </x:c>
      <x:c r="D30" t="str">
        <x:v>Store</x:v>
      </x:c>
      <x:c r="E30" t="str">
        <x:v>Formal Shirt</x:v>
      </x:c>
      <x:c r="F30" t="str">
        <x:v>Apparel</x:v>
      </x:c>
      <x:c r="G30" t="n">
        <x:v>8</x:v>
      </x:c>
      <x:c r="H30" s="30" t="n">
        <x:v>1450</x:v>
      </x:c>
      <x:c r="I30" s="32" t="n">
        <x:v>0.15</x:v>
      </x:c>
      <x:c r="J30" s="30" t="n">
        <x:v>9860</x:v>
      </x:c>
      <x:c r="K30" s="30" t="n">
        <x:v>7040</x:v>
      </x:c>
      <x:c r="L30" s="30" t="n">
        <x:v>2820</x:v>
      </x:c>
    </x:row>
    <x:row r="31">
      <x:c r="A31" t="str">
        <x:v>TX-0030</x:v>
      </x:c>
      <x:c r="B31" s="28" t="n">
        <x:v>46037</x:v>
      </x:c>
      <x:c r="C31" t="str">
        <x:v>Chattogram</x:v>
      </x:c>
      <x:c r="D31" t="str">
        <x:v>Store</x:v>
      </x:c>
      <x:c r="E31" t="str">
        <x:v>Polo Shirt</x:v>
      </x:c>
      <x:c r="F31" t="str">
        <x:v>Apparel</x:v>
      </x:c>
      <x:c r="G31" t="n">
        <x:v>8</x:v>
      </x:c>
      <x:c r="H31" s="30" t="n">
        <x:v>1200</x:v>
      </x:c>
      <x:c r="I31" s="32" t="n">
        <x:v>0</x:v>
      </x:c>
      <x:c r="J31" s="30" t="n">
        <x:v>9600</x:v>
      </x:c>
      <x:c r="K31" s="30" t="n">
        <x:v>5760</x:v>
      </x:c>
      <x:c r="L31" s="30" t="n">
        <x:v>3840</x:v>
      </x:c>
    </x:row>
    <x:row r="32">
      <x:c r="A32" t="str">
        <x:v>TX-0031</x:v>
      </x:c>
      <x:c r="B32" s="28" t="n">
        <x:v>46038</x:v>
      </x:c>
      <x:c r="C32" t="str">
        <x:v>Rajshahi</x:v>
      </x:c>
      <x:c r="D32" t="str">
        <x:v>Online</x:v>
      </x:c>
      <x:c r="E32" t="str">
        <x:v>Backpack</x:v>
      </x:c>
      <x:c r="F32" t="str">
        <x:v>Accessories</x:v>
      </x:c>
      <x:c r="G32" t="n">
        <x:v>7</x:v>
      </x:c>
      <x:c r="H32" s="30" t="n">
        <x:v>1800</x:v>
      </x:c>
      <x:c r="I32" s="32" t="n">
        <x:v>0.1</x:v>
      </x:c>
      <x:c r="J32" s="30" t="n">
        <x:v>11340</x:v>
      </x:c>
      <x:c r="K32" s="30" t="n">
        <x:v>7840</x:v>
      </x:c>
      <x:c r="L32" s="30" t="n">
        <x:v>3500</x:v>
      </x:c>
    </x:row>
    <x:row r="33">
      <x:c r="A33" t="str">
        <x:v>TX-0032</x:v>
      </x:c>
      <x:c r="B33" s="28" t="n">
        <x:v>46038</x:v>
      </x:c>
      <x:c r="C33" t="str">
        <x:v>Khulna</x:v>
      </x:c>
      <x:c r="D33" t="str">
        <x:v>Online</x:v>
      </x:c>
      <x:c r="E33" t="str">
        <x:v>Backpack</x:v>
      </x:c>
      <x:c r="F33" t="str">
        <x:v>Accessories</x:v>
      </x:c>
      <x:c r="G33" t="n">
        <x:v>2</x:v>
      </x:c>
      <x:c r="H33" s="30" t="n">
        <x:v>1800</x:v>
      </x:c>
      <x:c r="I33" s="32" t="n">
        <x:v>0</x:v>
      </x:c>
      <x:c r="J33" s="30" t="n">
        <x:v>3600</x:v>
      </x:c>
      <x:c r="K33" s="30" t="n">
        <x:v>2240</x:v>
      </x:c>
      <x:c r="L33" s="30" t="n">
        <x:v>1360</x:v>
      </x:c>
    </x:row>
    <x:row r="34">
      <x:c r="A34" t="str">
        <x:v>TX-0033</x:v>
      </x:c>
      <x:c r="B34" s="28" t="n">
        <x:v>46039</x:v>
      </x:c>
      <x:c r="C34" t="str">
        <x:v>Dhaka</x:v>
      </x:c>
      <x:c r="D34" t="str">
        <x:v>Online</x:v>
      </x:c>
      <x:c r="E34" t="str">
        <x:v>T-Shirt</x:v>
      </x:c>
      <x:c r="F34" t="str">
        <x:v>Apparel</x:v>
      </x:c>
      <x:c r="G34" t="n">
        <x:v>3</x:v>
      </x:c>
      <x:c r="H34" s="30" t="n">
        <x:v>650</x:v>
      </x:c>
      <x:c r="I34" s="32" t="n">
        <x:v>0.1</x:v>
      </x:c>
      <x:c r="J34" s="30" t="n">
        <x:v>1755</x:v>
      </x:c>
      <x:c r="K34" s="30" t="n">
        <x:v>1080</x:v>
      </x:c>
      <x:c r="L34" s="30" t="n">
        <x:v>675</x:v>
      </x:c>
    </x:row>
    <x:row r="35">
      <x:c r="A35" t="str">
        <x:v>TX-0034</x:v>
      </x:c>
      <x:c r="B35" s="28" t="n">
        <x:v>46039</x:v>
      </x:c>
      <x:c r="C35" t="str">
        <x:v>Chattogram</x:v>
      </x:c>
      <x:c r="D35" t="str">
        <x:v>Partner</x:v>
      </x:c>
      <x:c r="E35" t="str">
        <x:v>T-Shirt</x:v>
      </x:c>
      <x:c r="F35" t="str">
        <x:v>Apparel</x:v>
      </x:c>
      <x:c r="G35" t="n">
        <x:v>4</x:v>
      </x:c>
      <x:c r="H35" s="30" t="n">
        <x:v>650</x:v>
      </x:c>
      <x:c r="I35" s="32" t="n">
        <x:v>0</x:v>
      </x:c>
      <x:c r="J35" s="30" t="n">
        <x:v>2600</x:v>
      </x:c>
      <x:c r="K35" s="30" t="n">
        <x:v>1440</x:v>
      </x:c>
      <x:c r="L35" s="30" t="n">
        <x:v>1160</x:v>
      </x:c>
    </x:row>
    <x:row r="36">
      <x:c r="A36" t="str">
        <x:v>TX-0035</x:v>
      </x:c>
      <x:c r="B36" s="28" t="n">
        <x:v>46040</x:v>
      </x:c>
      <x:c r="C36" t="str">
        <x:v>Rajshahi</x:v>
      </x:c>
      <x:c r="D36" t="str">
        <x:v>Partner</x:v>
      </x:c>
      <x:c r="E36" t="str">
        <x:v>Notebook Set</x:v>
      </x:c>
      <x:c r="F36" t="str">
        <x:v>Stationery</x:v>
      </x:c>
      <x:c r="G36" t="n">
        <x:v>1</x:v>
      </x:c>
      <x:c r="H36" s="30" t="n">
        <x:v>320</x:v>
      </x:c>
      <x:c r="I36" s="32" t="n">
        <x:v>0.05</x:v>
      </x:c>
      <x:c r="J36" s="30" t="n">
        <x:v>304</x:v>
      </x:c>
      <x:c r="K36" s="30" t="n">
        <x:v>170</x:v>
      </x:c>
      <x:c r="L36" s="30" t="n">
        <x:v>134</x:v>
      </x:c>
    </x:row>
    <x:row r="37">
      <x:c r="A37" t="str">
        <x:v>TX-0036</x:v>
      </x:c>
      <x:c r="B37" s="28" t="n">
        <x:v>46040</x:v>
      </x:c>
      <x:c r="C37" t="str">
        <x:v>Khulna</x:v>
      </x:c>
      <x:c r="D37" t="str">
        <x:v>Partner</x:v>
      </x:c>
      <x:c r="E37" t="str">
        <x:v>Sneakers</x:v>
      </x:c>
      <x:c r="F37" t="str">
        <x:v>Footwear</x:v>
      </x:c>
      <x:c r="G37" t="n">
        <x:v>1</x:v>
      </x:c>
      <x:c r="H37" s="30" t="n">
        <x:v>2400</x:v>
      </x:c>
      <x:c r="I37" s="32" t="n">
        <x:v>0</x:v>
      </x:c>
      <x:c r="J37" s="30" t="n">
        <x:v>2400</x:v>
      </x:c>
      <x:c r="K37" s="30" t="n">
        <x:v>1550</x:v>
      </x:c>
      <x:c r="L37" s="30" t="n">
        <x:v>850</x:v>
      </x:c>
    </x:row>
    <x:row r="38">
      <x:c r="A38" t="str">
        <x:v>TX-0037</x:v>
      </x:c>
      <x:c r="B38" s="28" t="n">
        <x:v>46041</x:v>
      </x:c>
      <x:c r="C38" t="str">
        <x:v>Dhaka</x:v>
      </x:c>
      <x:c r="D38" t="str">
        <x:v>Store</x:v>
      </x:c>
      <x:c r="E38" t="str">
        <x:v>T-Shirt</x:v>
      </x:c>
      <x:c r="F38" t="str">
        <x:v>Apparel</x:v>
      </x:c>
      <x:c r="G38" t="n">
        <x:v>6</x:v>
      </x:c>
      <x:c r="H38" s="30" t="n">
        <x:v>650</x:v>
      </x:c>
      <x:c r="I38" s="32" t="n">
        <x:v>0.1</x:v>
      </x:c>
      <x:c r="J38" s="30" t="n">
        <x:v>3510</x:v>
      </x:c>
      <x:c r="K38" s="30" t="n">
        <x:v>2160</x:v>
      </x:c>
      <x:c r="L38" s="30" t="n">
        <x:v>1350</x:v>
      </x:c>
    </x:row>
    <x:row r="39">
      <x:c r="A39" t="str">
        <x:v>TX-0038</x:v>
      </x:c>
      <x:c r="B39" s="28" t="n">
        <x:v>46041</x:v>
      </x:c>
      <x:c r="C39" t="str">
        <x:v>Chattogram</x:v>
      </x:c>
      <x:c r="D39" t="str">
        <x:v>Store</x:v>
      </x:c>
      <x:c r="E39" t="str">
        <x:v>Sneakers</x:v>
      </x:c>
      <x:c r="F39" t="str">
        <x:v>Footwear</x:v>
      </x:c>
      <x:c r="G39" t="n">
        <x:v>6</x:v>
      </x:c>
      <x:c r="H39" s="30" t="n">
        <x:v>2400</x:v>
      </x:c>
      <x:c r="I39" s="32" t="n">
        <x:v>0.1</x:v>
      </x:c>
      <x:c r="J39" s="30" t="n">
        <x:v>12960</x:v>
      </x:c>
      <x:c r="K39" s="30" t="n">
        <x:v>9300</x:v>
      </x:c>
      <x:c r="L39" s="30" t="n">
        <x:v>3660</x:v>
      </x:c>
    </x:row>
    <x:row r="40">
      <x:c r="A40" t="str">
        <x:v>TX-0039</x:v>
      </x:c>
      <x:c r="B40" s="28" t="n">
        <x:v>46042</x:v>
      </x:c>
      <x:c r="C40" t="str">
        <x:v>Rajshahi</x:v>
      </x:c>
      <x:c r="D40" t="str">
        <x:v>Store</x:v>
      </x:c>
      <x:c r="E40" t="str">
        <x:v>Formal Shirt</x:v>
      </x:c>
      <x:c r="F40" t="str">
        <x:v>Apparel</x:v>
      </x:c>
      <x:c r="G40" t="n">
        <x:v>5</x:v>
      </x:c>
      <x:c r="H40" s="30" t="n">
        <x:v>1450</x:v>
      </x:c>
      <x:c r="I40" s="32" t="n">
        <x:v>0.1</x:v>
      </x:c>
      <x:c r="J40" s="30" t="n">
        <x:v>6525</x:v>
      </x:c>
      <x:c r="K40" s="30" t="n">
        <x:v>4400</x:v>
      </x:c>
      <x:c r="L40" s="30" t="n">
        <x:v>2125</x:v>
      </x:c>
    </x:row>
    <x:row r="41">
      <x:c r="A41" t="str">
        <x:v>TX-0040</x:v>
      </x:c>
      <x:c r="B41" s="28" t="n">
        <x:v>46042</x:v>
      </x:c>
      <x:c r="C41" t="str">
        <x:v>Khulna</x:v>
      </x:c>
      <x:c r="D41" t="str">
        <x:v>Online</x:v>
      </x:c>
      <x:c r="E41" t="str">
        <x:v>Sneakers</x:v>
      </x:c>
      <x:c r="F41" t="str">
        <x:v>Footwear</x:v>
      </x:c>
      <x:c r="G41" t="n">
        <x:v>3</x:v>
      </x:c>
      <x:c r="H41" s="30" t="n">
        <x:v>2400</x:v>
      </x:c>
      <x:c r="I41" s="32" t="n">
        <x:v>0.1</x:v>
      </x:c>
      <x:c r="J41" s="30" t="n">
        <x:v>6480</x:v>
      </x:c>
      <x:c r="K41" s="30" t="n">
        <x:v>4650</x:v>
      </x:c>
      <x:c r="L41" s="30" t="n">
        <x:v>1830</x:v>
      </x:c>
    </x:row>
    <x:row r="42">
      <x:c r="A42" t="str">
        <x:v>TX-0041</x:v>
      </x:c>
      <x:c r="B42" s="28" t="n">
        <x:v>46043</x:v>
      </x:c>
      <x:c r="C42" t="str">
        <x:v>Dhaka</x:v>
      </x:c>
      <x:c r="D42" t="str">
        <x:v>Online</x:v>
      </x:c>
      <x:c r="E42" t="str">
        <x:v>Notebook Set</x:v>
      </x:c>
      <x:c r="F42" t="str">
        <x:v>Stationery</x:v>
      </x:c>
      <x:c r="G42" t="n">
        <x:v>2</x:v>
      </x:c>
      <x:c r="H42" s="30" t="n">
        <x:v>320</x:v>
      </x:c>
      <x:c r="I42" s="32" t="n">
        <x:v>0.05</x:v>
      </x:c>
      <x:c r="J42" s="30" t="n">
        <x:v>608</x:v>
      </x:c>
      <x:c r="K42" s="30" t="n">
        <x:v>340</x:v>
      </x:c>
      <x:c r="L42" s="30" t="n">
        <x:v>268</x:v>
      </x:c>
    </x:row>
    <x:row r="43">
      <x:c r="A43" t="str">
        <x:v>TX-0042</x:v>
      </x:c>
      <x:c r="B43" s="28" t="n">
        <x:v>46043</x:v>
      </x:c>
      <x:c r="C43" t="str">
        <x:v>Chattogram</x:v>
      </x:c>
      <x:c r="D43" t="str">
        <x:v>Online</x:v>
      </x:c>
      <x:c r="E43" t="str">
        <x:v>T-Shirt</x:v>
      </x:c>
      <x:c r="F43" t="str">
        <x:v>Apparel</x:v>
      </x:c>
      <x:c r="G43" t="n">
        <x:v>2</x:v>
      </x:c>
      <x:c r="H43" s="30" t="n">
        <x:v>650</x:v>
      </x:c>
      <x:c r="I43" s="32" t="n">
        <x:v>0</x:v>
      </x:c>
      <x:c r="J43" s="30" t="n">
        <x:v>1300</x:v>
      </x:c>
      <x:c r="K43" s="30" t="n">
        <x:v>720</x:v>
      </x:c>
      <x:c r="L43" s="30" t="n">
        <x:v>580</x:v>
      </x:c>
    </x:row>
    <x:row r="44">
      <x:c r="A44" t="str">
        <x:v>TX-0043</x:v>
      </x:c>
      <x:c r="B44" s="28" t="n">
        <x:v>46044</x:v>
      </x:c>
      <x:c r="C44" t="str">
        <x:v>Rajshahi</x:v>
      </x:c>
      <x:c r="D44" t="str">
        <x:v>Partner</x:v>
      </x:c>
      <x:c r="E44" t="str">
        <x:v>Formal Shirt</x:v>
      </x:c>
      <x:c r="F44" t="str">
        <x:v>Apparel</x:v>
      </x:c>
      <x:c r="G44" t="n">
        <x:v>7</x:v>
      </x:c>
      <x:c r="H44" s="30" t="n">
        <x:v>1450</x:v>
      </x:c>
      <x:c r="I44" s="32" t="n">
        <x:v>0.15</x:v>
      </x:c>
      <x:c r="J44" s="30" t="n">
        <x:v>8627.5</x:v>
      </x:c>
      <x:c r="K44" s="30" t="n">
        <x:v>6160</x:v>
      </x:c>
      <x:c r="L44" s="30" t="n">
        <x:v>2467.5</x:v>
      </x:c>
    </x:row>
    <x:row r="45">
      <x:c r="A45" t="str">
        <x:v>TX-0044</x:v>
      </x:c>
      <x:c r="B45" s="28" t="n">
        <x:v>46044</x:v>
      </x:c>
      <x:c r="C45" t="str">
        <x:v>Khulna</x:v>
      </x:c>
      <x:c r="D45" t="str">
        <x:v>Partner</x:v>
      </x:c>
      <x:c r="E45" t="str">
        <x:v>Polo Shirt</x:v>
      </x:c>
      <x:c r="F45" t="str">
        <x:v>Apparel</x:v>
      </x:c>
      <x:c r="G45" t="n">
        <x:v>8</x:v>
      </x:c>
      <x:c r="H45" s="30" t="n">
        <x:v>1200</x:v>
      </x:c>
      <x:c r="I45" s="32" t="n">
        <x:v>0.1</x:v>
      </x:c>
      <x:c r="J45" s="30" t="n">
        <x:v>8640</x:v>
      </x:c>
      <x:c r="K45" s="30" t="n">
        <x:v>5760</x:v>
      </x:c>
      <x:c r="L45" s="30" t="n">
        <x:v>2880</x:v>
      </x:c>
    </x:row>
    <x:row r="46">
      <x:c r="A46" t="str">
        <x:v>TX-0045</x:v>
      </x:c>
      <x:c r="B46" s="28" t="n">
        <x:v>46045</x:v>
      </x:c>
      <x:c r="C46" t="str">
        <x:v>Dhaka</x:v>
      </x:c>
      <x:c r="D46" t="str">
        <x:v>Partner</x:v>
      </x:c>
      <x:c r="E46" t="str">
        <x:v>Formal Shirt</x:v>
      </x:c>
      <x:c r="F46" t="str">
        <x:v>Apparel</x:v>
      </x:c>
      <x:c r="G46" t="n">
        <x:v>5</x:v>
      </x:c>
      <x:c r="H46" s="30" t="n">
        <x:v>1450</x:v>
      </x:c>
      <x:c r="I46" s="32" t="n">
        <x:v>0.1</x:v>
      </x:c>
      <x:c r="J46" s="30" t="n">
        <x:v>6525</x:v>
      </x:c>
      <x:c r="K46" s="30" t="n">
        <x:v>4400</x:v>
      </x:c>
      <x:c r="L46" s="30" t="n">
        <x:v>2125</x:v>
      </x:c>
    </x:row>
    <x:row r="47">
      <x:c r="A47" t="str">
        <x:v>TX-0046</x:v>
      </x:c>
      <x:c r="B47" s="28" t="n">
        <x:v>46045</x:v>
      </x:c>
      <x:c r="C47" t="str">
        <x:v>Chattogram</x:v>
      </x:c>
      <x:c r="D47" t="str">
        <x:v>Store</x:v>
      </x:c>
      <x:c r="E47" t="str">
        <x:v>T-Shirt</x:v>
      </x:c>
      <x:c r="F47" t="str">
        <x:v>Apparel</x:v>
      </x:c>
      <x:c r="G47" t="n">
        <x:v>6</x:v>
      </x:c>
      <x:c r="H47" s="30" t="n">
        <x:v>650</x:v>
      </x:c>
      <x:c r="I47" s="32" t="n">
        <x:v>0</x:v>
      </x:c>
      <x:c r="J47" s="30" t="n">
        <x:v>3900</x:v>
      </x:c>
      <x:c r="K47" s="30" t="n">
        <x:v>2160</x:v>
      </x:c>
      <x:c r="L47" s="30" t="n">
        <x:v>1740</x:v>
      </x:c>
    </x:row>
    <x:row r="48">
      <x:c r="A48" t="str">
        <x:v>TX-0047</x:v>
      </x:c>
      <x:c r="B48" s="28" t="n">
        <x:v>46046</x:v>
      </x:c>
      <x:c r="C48" t="str">
        <x:v>Rajshahi</x:v>
      </x:c>
      <x:c r="D48" t="str">
        <x:v>Store</x:v>
      </x:c>
      <x:c r="E48" t="str">
        <x:v>Sneakers</x:v>
      </x:c>
      <x:c r="F48" t="str">
        <x:v>Footwear</x:v>
      </x:c>
      <x:c r="G48" t="n">
        <x:v>3</x:v>
      </x:c>
      <x:c r="H48" s="30" t="n">
        <x:v>2400</x:v>
      </x:c>
      <x:c r="I48" s="32" t="n">
        <x:v>0.05</x:v>
      </x:c>
      <x:c r="J48" s="30" t="n">
        <x:v>6840</x:v>
      </x:c>
      <x:c r="K48" s="30" t="n">
        <x:v>4650</x:v>
      </x:c>
      <x:c r="L48" s="30" t="n">
        <x:v>2190</x:v>
      </x:c>
    </x:row>
    <x:row r="49">
      <x:c r="A49" t="str">
        <x:v>TX-0048</x:v>
      </x:c>
      <x:c r="B49" s="28" t="n">
        <x:v>46046</x:v>
      </x:c>
      <x:c r="C49" t="str">
        <x:v>Khulna</x:v>
      </x:c>
      <x:c r="D49" t="str">
        <x:v>Store</x:v>
      </x:c>
      <x:c r="E49" t="str">
        <x:v>Polo Shirt</x:v>
      </x:c>
      <x:c r="F49" t="str">
        <x:v>Apparel</x:v>
      </x:c>
      <x:c r="G49" t="n">
        <x:v>5</x:v>
      </x:c>
      <x:c r="H49" s="30" t="n">
        <x:v>1200</x:v>
      </x:c>
      <x:c r="I49" s="32" t="n">
        <x:v>0.05</x:v>
      </x:c>
      <x:c r="J49" s="30" t="n">
        <x:v>5700</x:v>
      </x:c>
      <x:c r="K49" s="30" t="n">
        <x:v>3600</x:v>
      </x:c>
      <x:c r="L49" s="30" t="n">
        <x:v>2100</x:v>
      </x:c>
    </x:row>
    <x:row r="50">
      <x:c r="A50" t="str">
        <x:v>TX-0049</x:v>
      </x:c>
      <x:c r="B50" s="28" t="n">
        <x:v>46047</x:v>
      </x:c>
      <x:c r="C50" t="str">
        <x:v>Dhaka</x:v>
      </x:c>
      <x:c r="D50" t="str">
        <x:v>Online</x:v>
      </x:c>
      <x:c r="E50" t="str">
        <x:v>Formal Shirt</x:v>
      </x:c>
      <x:c r="F50" t="str">
        <x:v>Apparel</x:v>
      </x:c>
      <x:c r="G50" t="n">
        <x:v>3</x:v>
      </x:c>
      <x:c r="H50" s="30" t="n">
        <x:v>1450</x:v>
      </x:c>
      <x:c r="I50" s="32" t="n">
        <x:v>0</x:v>
      </x:c>
      <x:c r="J50" s="30" t="n">
        <x:v>4350</x:v>
      </x:c>
      <x:c r="K50" s="30" t="n">
        <x:v>2640</x:v>
      </x:c>
      <x:c r="L50" s="30" t="n">
        <x:v>1710</x:v>
      </x:c>
    </x:row>
    <x:row r="51">
      <x:c r="A51" t="str">
        <x:v>TX-0050</x:v>
      </x:c>
      <x:c r="B51" s="28" t="n">
        <x:v>46047</x:v>
      </x:c>
      <x:c r="C51" t="str">
        <x:v>Chattogram</x:v>
      </x:c>
      <x:c r="D51" t="str">
        <x:v>Online</x:v>
      </x:c>
      <x:c r="E51" t="str">
        <x:v>Backpack</x:v>
      </x:c>
      <x:c r="F51" t="str">
        <x:v>Accessories</x:v>
      </x:c>
      <x:c r="G51" t="n">
        <x:v>3</x:v>
      </x:c>
      <x:c r="H51" s="30" t="n">
        <x:v>1800</x:v>
      </x:c>
      <x:c r="I51" s="32" t="n">
        <x:v>0.05</x:v>
      </x:c>
      <x:c r="J51" s="30" t="n">
        <x:v>5130</x:v>
      </x:c>
      <x:c r="K51" s="30" t="n">
        <x:v>3360</x:v>
      </x:c>
      <x:c r="L51" s="30" t="n">
        <x:v>1770</x:v>
      </x:c>
    </x:row>
    <x:row r="52">
      <x:c r="A52" t="str">
        <x:v>TX-0051</x:v>
      </x:c>
      <x:c r="B52" s="28" t="n">
        <x:v>46048</x:v>
      </x:c>
      <x:c r="C52" t="str">
        <x:v>Rajshahi</x:v>
      </x:c>
      <x:c r="D52" t="str">
        <x:v>Online</x:v>
      </x:c>
      <x:c r="E52" t="str">
        <x:v>T-Shirt</x:v>
      </x:c>
      <x:c r="F52" t="str">
        <x:v>Apparel</x:v>
      </x:c>
      <x:c r="G52" t="n">
        <x:v>3</x:v>
      </x:c>
      <x:c r="H52" s="30" t="n">
        <x:v>650</x:v>
      </x:c>
      <x:c r="I52" s="32" t="n">
        <x:v>0</x:v>
      </x:c>
      <x:c r="J52" s="30" t="n">
        <x:v>1950</x:v>
      </x:c>
      <x:c r="K52" s="30" t="n">
        <x:v>1080</x:v>
      </x:c>
      <x:c r="L52" s="30" t="n">
        <x:v>870</x:v>
      </x:c>
    </x:row>
    <x:row r="53">
      <x:c r="A53" t="str">
        <x:v>TX-0052</x:v>
      </x:c>
      <x:c r="B53" s="28" t="n">
        <x:v>46048</x:v>
      </x:c>
      <x:c r="C53" t="str">
        <x:v>Khulna</x:v>
      </x:c>
      <x:c r="D53" t="str">
        <x:v>Partner</x:v>
      </x:c>
      <x:c r="E53" t="str">
        <x:v>Sneakers</x:v>
      </x:c>
      <x:c r="F53" t="str">
        <x:v>Footwear</x:v>
      </x:c>
      <x:c r="G53" t="n">
        <x:v>8</x:v>
      </x:c>
      <x:c r="H53" s="30" t="n">
        <x:v>2400</x:v>
      </x:c>
      <x:c r="I53" s="32" t="n">
        <x:v>0</x:v>
      </x:c>
      <x:c r="J53" s="30" t="n">
        <x:v>19200</x:v>
      </x:c>
      <x:c r="K53" s="30" t="n">
        <x:v>12400</x:v>
      </x:c>
      <x:c r="L53" s="30" t="n">
        <x:v>6800</x:v>
      </x:c>
    </x:row>
    <x:row r="54">
      <x:c r="A54" t="str">
        <x:v>TX-0053</x:v>
      </x:c>
      <x:c r="B54" s="28" t="n">
        <x:v>46049</x:v>
      </x:c>
      <x:c r="C54" t="str">
        <x:v>Dhaka</x:v>
      </x:c>
      <x:c r="D54" t="str">
        <x:v>Partner</x:v>
      </x:c>
      <x:c r="E54" t="str">
        <x:v>Backpack</x:v>
      </x:c>
      <x:c r="F54" t="str">
        <x:v>Accessories</x:v>
      </x:c>
      <x:c r="G54" t="n">
        <x:v>1</x:v>
      </x:c>
      <x:c r="H54" s="30" t="n">
        <x:v>1800</x:v>
      </x:c>
      <x:c r="I54" s="32" t="n">
        <x:v>0.15</x:v>
      </x:c>
      <x:c r="J54" s="30" t="n">
        <x:v>1530</x:v>
      </x:c>
      <x:c r="K54" s="30" t="n">
        <x:v>1120</x:v>
      </x:c>
      <x:c r="L54" s="30" t="n">
        <x:v>410</x:v>
      </x:c>
    </x:row>
    <x:row r="55">
      <x:c r="A55" t="str">
        <x:v>TX-0054</x:v>
      </x:c>
      <x:c r="B55" s="28" t="n">
        <x:v>46049</x:v>
      </x:c>
      <x:c r="C55" t="str">
        <x:v>Chattogram</x:v>
      </x:c>
      <x:c r="D55" t="str">
        <x:v>Partner</x:v>
      </x:c>
      <x:c r="E55" t="str">
        <x:v>Sneakers</x:v>
      </x:c>
      <x:c r="F55" t="str">
        <x:v>Footwear</x:v>
      </x:c>
      <x:c r="G55" t="n">
        <x:v>7</x:v>
      </x:c>
      <x:c r="H55" s="30" t="n">
        <x:v>2400</x:v>
      </x:c>
      <x:c r="I55" s="32" t="n">
        <x:v>0.15</x:v>
      </x:c>
      <x:c r="J55" s="30" t="n">
        <x:v>14280</x:v>
      </x:c>
      <x:c r="K55" s="30" t="n">
        <x:v>10850</x:v>
      </x:c>
      <x:c r="L55" s="30" t="n">
        <x:v>3430</x:v>
      </x:c>
    </x:row>
    <x:row r="56">
      <x:c r="A56" t="str">
        <x:v>TX-0055</x:v>
      </x:c>
      <x:c r="B56" s="28" t="n">
        <x:v>46050</x:v>
      </x:c>
      <x:c r="C56" t="str">
        <x:v>Rajshahi</x:v>
      </x:c>
      <x:c r="D56" t="str">
        <x:v>Store</x:v>
      </x:c>
      <x:c r="E56" t="str">
        <x:v>Formal Shirt</x:v>
      </x:c>
      <x:c r="F56" t="str">
        <x:v>Apparel</x:v>
      </x:c>
      <x:c r="G56" t="n">
        <x:v>5</x:v>
      </x:c>
      <x:c r="H56" s="30" t="n">
        <x:v>1450</x:v>
      </x:c>
      <x:c r="I56" s="32" t="n">
        <x:v>0.15</x:v>
      </x:c>
      <x:c r="J56" s="30" t="n">
        <x:v>6162.5</x:v>
      </x:c>
      <x:c r="K56" s="30" t="n">
        <x:v>4400</x:v>
      </x:c>
      <x:c r="L56" s="30" t="n">
        <x:v>1762.5</x:v>
      </x:c>
    </x:row>
    <x:row r="57">
      <x:c r="A57" t="str">
        <x:v>TX-0056</x:v>
      </x:c>
      <x:c r="B57" s="28" t="n">
        <x:v>46050</x:v>
      </x:c>
      <x:c r="C57" t="str">
        <x:v>Khulna</x:v>
      </x:c>
      <x:c r="D57" t="str">
        <x:v>Store</x:v>
      </x:c>
      <x:c r="E57" t="str">
        <x:v>Formal Shirt</x:v>
      </x:c>
      <x:c r="F57" t="str">
        <x:v>Apparel</x:v>
      </x:c>
      <x:c r="G57" t="n">
        <x:v>3</x:v>
      </x:c>
      <x:c r="H57" s="30" t="n">
        <x:v>1450</x:v>
      </x:c>
      <x:c r="I57" s="32" t="n">
        <x:v>0.05</x:v>
      </x:c>
      <x:c r="J57" s="30" t="n">
        <x:v>4132.5</x:v>
      </x:c>
      <x:c r="K57" s="30" t="n">
        <x:v>2640</x:v>
      </x:c>
      <x:c r="L57" s="30" t="n">
        <x:v>1492.5</x:v>
      </x:c>
    </x:row>
    <x:row r="58">
      <x:c r="A58" t="str">
        <x:v>TX-0057</x:v>
      </x:c>
      <x:c r="B58" s="28" t="n">
        <x:v>46051</x:v>
      </x:c>
      <x:c r="C58" t="str">
        <x:v>Dhaka</x:v>
      </x:c>
      <x:c r="D58" t="str">
        <x:v>Store</x:v>
      </x:c>
      <x:c r="E58" t="str">
        <x:v>T-Shirt</x:v>
      </x:c>
      <x:c r="F58" t="str">
        <x:v>Apparel</x:v>
      </x:c>
      <x:c r="G58" t="n">
        <x:v>4</x:v>
      </x:c>
      <x:c r="H58" s="30" t="n">
        <x:v>650</x:v>
      </x:c>
      <x:c r="I58" s="32" t="n">
        <x:v>0.1</x:v>
      </x:c>
      <x:c r="J58" s="30" t="n">
        <x:v>2340</x:v>
      </x:c>
      <x:c r="K58" s="30" t="n">
        <x:v>1440</x:v>
      </x:c>
      <x:c r="L58" s="30" t="n">
        <x:v>900</x:v>
      </x:c>
    </x:row>
    <x:row r="59">
      <x:c r="A59" t="str">
        <x:v>TX-0058</x:v>
      </x:c>
      <x:c r="B59" s="28" t="n">
        <x:v>46051</x:v>
      </x:c>
      <x:c r="C59" t="str">
        <x:v>Chattogram</x:v>
      </x:c>
      <x:c r="D59" t="str">
        <x:v>Online</x:v>
      </x:c>
      <x:c r="E59" t="str">
        <x:v>Polo Shirt</x:v>
      </x:c>
      <x:c r="F59" t="str">
        <x:v>Apparel</x:v>
      </x:c>
      <x:c r="G59" t="n">
        <x:v>1</x:v>
      </x:c>
      <x:c r="H59" s="30" t="n">
        <x:v>1200</x:v>
      </x:c>
      <x:c r="I59" s="32" t="n">
        <x:v>0.1</x:v>
      </x:c>
      <x:c r="J59" s="30" t="n">
        <x:v>1080</x:v>
      </x:c>
      <x:c r="K59" s="30" t="n">
        <x:v>720</x:v>
      </x:c>
      <x:c r="L59" s="30" t="n">
        <x:v>360</x:v>
      </x:c>
    </x:row>
    <x:row r="60">
      <x:c r="A60" t="str">
        <x:v>TX-0059</x:v>
      </x:c>
      <x:c r="B60" s="28" t="n">
        <x:v>46052</x:v>
      </x:c>
      <x:c r="C60" t="str">
        <x:v>Rajshahi</x:v>
      </x:c>
      <x:c r="D60" t="str">
        <x:v>Online</x:v>
      </x:c>
      <x:c r="E60" t="str">
        <x:v>Backpack</x:v>
      </x:c>
      <x:c r="F60" t="str">
        <x:v>Accessories</x:v>
      </x:c>
      <x:c r="G60" t="n">
        <x:v>8</x:v>
      </x:c>
      <x:c r="H60" s="30" t="n">
        <x:v>1800</x:v>
      </x:c>
      <x:c r="I60" s="32" t="n">
        <x:v>0</x:v>
      </x:c>
      <x:c r="J60" s="30" t="n">
        <x:v>14400</x:v>
      </x:c>
      <x:c r="K60" s="30" t="n">
        <x:v>8960</x:v>
      </x:c>
      <x:c r="L60" s="30" t="n">
        <x:v>5440</x:v>
      </x:c>
    </x:row>
    <x:row r="61">
      <x:c r="A61" t="str">
        <x:v>TX-0060</x:v>
      </x:c>
      <x:c r="B61" s="28" t="n">
        <x:v>46052</x:v>
      </x:c>
      <x:c r="C61" t="str">
        <x:v>Khulna</x:v>
      </x:c>
      <x:c r="D61" t="str">
        <x:v>Online</x:v>
      </x:c>
      <x:c r="E61" t="str">
        <x:v>Polo Shirt</x:v>
      </x:c>
      <x:c r="F61" t="str">
        <x:v>Apparel</x:v>
      </x:c>
      <x:c r="G61" t="n">
        <x:v>6</x:v>
      </x:c>
      <x:c r="H61" s="30" t="n">
        <x:v>1200</x:v>
      </x:c>
      <x:c r="I61" s="32" t="n">
        <x:v>0</x:v>
      </x:c>
      <x:c r="J61" s="30" t="n">
        <x:v>7200</x:v>
      </x:c>
      <x:c r="K61" s="30" t="n">
        <x:v>4320</x:v>
      </x:c>
      <x:c r="L61" s="30" t="n">
        <x:v>2880</x:v>
      </x:c>
    </x:row>
    <x:row r="62">
      <x:c r="A62" t="str">
        <x:v>TX-0061</x:v>
      </x:c>
      <x:c r="B62" s="28" t="n">
        <x:v>46053</x:v>
      </x:c>
      <x:c r="C62" t="str">
        <x:v>Dhaka</x:v>
      </x:c>
      <x:c r="D62" t="str">
        <x:v>Partner</x:v>
      </x:c>
      <x:c r="E62" t="str">
        <x:v>T-Shirt</x:v>
      </x:c>
      <x:c r="F62" t="str">
        <x:v>Apparel</x:v>
      </x:c>
      <x:c r="G62" t="n">
        <x:v>8</x:v>
      </x:c>
      <x:c r="H62" s="30" t="n">
        <x:v>650</x:v>
      </x:c>
      <x:c r="I62" s="32" t="n">
        <x:v>0</x:v>
      </x:c>
      <x:c r="J62" s="30" t="n">
        <x:v>5200</x:v>
      </x:c>
      <x:c r="K62" s="30" t="n">
        <x:v>2880</x:v>
      </x:c>
      <x:c r="L62" s="30" t="n">
        <x:v>2320</x:v>
      </x:c>
    </x:row>
    <x:row r="63">
      <x:c r="A63" t="str">
        <x:v>TX-0062</x:v>
      </x:c>
      <x:c r="B63" s="28" t="n">
        <x:v>46053</x:v>
      </x:c>
      <x:c r="C63" t="str">
        <x:v>Chattogram</x:v>
      </x:c>
      <x:c r="D63" t="str">
        <x:v>Partner</x:v>
      </x:c>
      <x:c r="E63" t="str">
        <x:v>Notebook Set</x:v>
      </x:c>
      <x:c r="F63" t="str">
        <x:v>Stationery</x:v>
      </x:c>
      <x:c r="G63" t="n">
        <x:v>7</x:v>
      </x:c>
      <x:c r="H63" s="30" t="n">
        <x:v>320</x:v>
      </x:c>
      <x:c r="I63" s="32" t="n">
        <x:v>0.05</x:v>
      </x:c>
      <x:c r="J63" s="30" t="n">
        <x:v>2128</x:v>
      </x:c>
      <x:c r="K63" s="30" t="n">
        <x:v>1190</x:v>
      </x:c>
      <x:c r="L63" s="30" t="n">
        <x:v>938</x:v>
      </x:c>
    </x:row>
    <x:row r="64">
      <x:c r="A64" t="str">
        <x:v>TX-0063</x:v>
      </x:c>
      <x:c r="B64" s="28" t="n">
        <x:v>46054</x:v>
      </x:c>
      <x:c r="C64" t="str">
        <x:v>Rajshahi</x:v>
      </x:c>
      <x:c r="D64" t="str">
        <x:v>Partner</x:v>
      </x:c>
      <x:c r="E64" t="str">
        <x:v>Sneakers</x:v>
      </x:c>
      <x:c r="F64" t="str">
        <x:v>Footwear</x:v>
      </x:c>
      <x:c r="G64" t="n">
        <x:v>5</x:v>
      </x:c>
      <x:c r="H64" s="30" t="n">
        <x:v>2400</x:v>
      </x:c>
      <x:c r="I64" s="32" t="n">
        <x:v>0.1</x:v>
      </x:c>
      <x:c r="J64" s="30" t="n">
        <x:v>10800</x:v>
      </x:c>
      <x:c r="K64" s="30" t="n">
        <x:v>7750</x:v>
      </x:c>
      <x:c r="L64" s="30" t="n">
        <x:v>3050</x:v>
      </x:c>
    </x:row>
    <x:row r="65">
      <x:c r="A65" t="str">
        <x:v>TX-0064</x:v>
      </x:c>
      <x:c r="B65" s="28" t="n">
        <x:v>46054</x:v>
      </x:c>
      <x:c r="C65" t="str">
        <x:v>Khulna</x:v>
      </x:c>
      <x:c r="D65" t="str">
        <x:v>Store</x:v>
      </x:c>
      <x:c r="E65" t="str">
        <x:v>Notebook Set</x:v>
      </x:c>
      <x:c r="F65" t="str">
        <x:v>Stationery</x:v>
      </x:c>
      <x:c r="G65" t="n">
        <x:v>3</x:v>
      </x:c>
      <x:c r="H65" s="30" t="n">
        <x:v>320</x:v>
      </x:c>
      <x:c r="I65" s="32" t="n">
        <x:v>0.1</x:v>
      </x:c>
      <x:c r="J65" s="30" t="n">
        <x:v>864</x:v>
      </x:c>
      <x:c r="K65" s="30" t="n">
        <x:v>510</x:v>
      </x:c>
      <x:c r="L65" s="30" t="n">
        <x:v>354</x:v>
      </x:c>
    </x:row>
    <x:row r="66">
      <x:c r="A66" t="str">
        <x:v>TX-0065</x:v>
      </x:c>
      <x:c r="B66" s="28" t="n">
        <x:v>46055</x:v>
      </x:c>
      <x:c r="C66" t="str">
        <x:v>Dhaka</x:v>
      </x:c>
      <x:c r="D66" t="str">
        <x:v>Store</x:v>
      </x:c>
      <x:c r="E66" t="str">
        <x:v>Polo Shirt</x:v>
      </x:c>
      <x:c r="F66" t="str">
        <x:v>Apparel</x:v>
      </x:c>
      <x:c r="G66" t="n">
        <x:v>3</x:v>
      </x:c>
      <x:c r="H66" s="30" t="n">
        <x:v>1200</x:v>
      </x:c>
      <x:c r="I66" s="32" t="n">
        <x:v>0.15</x:v>
      </x:c>
      <x:c r="J66" s="30" t="n">
        <x:v>3060</x:v>
      </x:c>
      <x:c r="K66" s="30" t="n">
        <x:v>2160</x:v>
      </x:c>
      <x:c r="L66" s="30" t="n">
        <x:v>900</x:v>
      </x:c>
    </x:row>
    <x:row r="67">
      <x:c r="A67" t="str">
        <x:v>TX-0066</x:v>
      </x:c>
      <x:c r="B67" s="28" t="n">
        <x:v>46055</x:v>
      </x:c>
      <x:c r="C67" t="str">
        <x:v>Chattogram</x:v>
      </x:c>
      <x:c r="D67" t="str">
        <x:v>Store</x:v>
      </x:c>
      <x:c r="E67" t="str">
        <x:v>Sneakers</x:v>
      </x:c>
      <x:c r="F67" t="str">
        <x:v>Footwear</x:v>
      </x:c>
      <x:c r="G67" t="n">
        <x:v>1</x:v>
      </x:c>
      <x:c r="H67" s="30" t="n">
        <x:v>2400</x:v>
      </x:c>
      <x:c r="I67" s="32" t="n">
        <x:v>0.15</x:v>
      </x:c>
      <x:c r="J67" s="30" t="n">
        <x:v>2040</x:v>
      </x:c>
      <x:c r="K67" s="30" t="n">
        <x:v>1550</x:v>
      </x:c>
      <x:c r="L67" s="30" t="n">
        <x:v>490</x:v>
      </x:c>
    </x:row>
    <x:row r="68">
      <x:c r="A68" t="str">
        <x:v>TX-0067</x:v>
      </x:c>
      <x:c r="B68" s="28" t="n">
        <x:v>46056</x:v>
      </x:c>
      <x:c r="C68" t="str">
        <x:v>Rajshahi</x:v>
      </x:c>
      <x:c r="D68" t="str">
        <x:v>Online</x:v>
      </x:c>
      <x:c r="E68" t="str">
        <x:v>Backpack</x:v>
      </x:c>
      <x:c r="F68" t="str">
        <x:v>Accessories</x:v>
      </x:c>
      <x:c r="G68" t="n">
        <x:v>1</x:v>
      </x:c>
      <x:c r="H68" s="30" t="n">
        <x:v>1800</x:v>
      </x:c>
      <x:c r="I68" s="32" t="n">
        <x:v>0.05</x:v>
      </x:c>
      <x:c r="J68" s="30" t="n">
        <x:v>1710</x:v>
      </x:c>
      <x:c r="K68" s="30" t="n">
        <x:v>1120</x:v>
      </x:c>
      <x:c r="L68" s="30" t="n">
        <x:v>590</x:v>
      </x:c>
    </x:row>
    <x:row r="69">
      <x:c r="A69" t="str">
        <x:v>TX-0068</x:v>
      </x:c>
      <x:c r="B69" s="28" t="n">
        <x:v>46056</x:v>
      </x:c>
      <x:c r="C69" t="str">
        <x:v>Khulna</x:v>
      </x:c>
      <x:c r="D69" t="str">
        <x:v>Online</x:v>
      </x:c>
      <x:c r="E69" t="str">
        <x:v>Sneakers</x:v>
      </x:c>
      <x:c r="F69" t="str">
        <x:v>Footwear</x:v>
      </x:c>
      <x:c r="G69" t="n">
        <x:v>8</x:v>
      </x:c>
      <x:c r="H69" s="30" t="n">
        <x:v>2400</x:v>
      </x:c>
      <x:c r="I69" s="32" t="n">
        <x:v>0</x:v>
      </x:c>
      <x:c r="J69" s="30" t="n">
        <x:v>19200</x:v>
      </x:c>
      <x:c r="K69" s="30" t="n">
        <x:v>12400</x:v>
      </x:c>
      <x:c r="L69" s="30" t="n">
        <x:v>6800</x:v>
      </x:c>
    </x:row>
    <x:row r="70">
      <x:c r="A70" t="str">
        <x:v>TX-0069</x:v>
      </x:c>
      <x:c r="B70" s="28" t="n">
        <x:v>46057</x:v>
      </x:c>
      <x:c r="C70" t="str">
        <x:v>Dhaka</x:v>
      </x:c>
      <x:c r="D70" t="str">
        <x:v>Online</x:v>
      </x:c>
      <x:c r="E70" t="str">
        <x:v>Formal Shirt</x:v>
      </x:c>
      <x:c r="F70" t="str">
        <x:v>Apparel</x:v>
      </x:c>
      <x:c r="G70" t="n">
        <x:v>7</x:v>
      </x:c>
      <x:c r="H70" s="30" t="n">
        <x:v>1450</x:v>
      </x:c>
      <x:c r="I70" s="32" t="n">
        <x:v>0.1</x:v>
      </x:c>
      <x:c r="J70" s="30" t="n">
        <x:v>9135</x:v>
      </x:c>
      <x:c r="K70" s="30" t="n">
        <x:v>6160</x:v>
      </x:c>
      <x:c r="L70" s="30" t="n">
        <x:v>2975</x:v>
      </x:c>
    </x:row>
    <x:row r="71">
      <x:c r="A71" t="str">
        <x:v>TX-0070</x:v>
      </x:c>
      <x:c r="B71" s="28" t="n">
        <x:v>46057</x:v>
      </x:c>
      <x:c r="C71" t="str">
        <x:v>Chattogram</x:v>
      </x:c>
      <x:c r="D71" t="str">
        <x:v>Partner</x:v>
      </x:c>
      <x:c r="E71" t="str">
        <x:v>Sneakers</x:v>
      </x:c>
      <x:c r="F71" t="str">
        <x:v>Footwear</x:v>
      </x:c>
      <x:c r="G71" t="n">
        <x:v>7</x:v>
      </x:c>
      <x:c r="H71" s="30" t="n">
        <x:v>2400</x:v>
      </x:c>
      <x:c r="I71" s="32" t="n">
        <x:v>0.1</x:v>
      </x:c>
      <x:c r="J71" s="30" t="n">
        <x:v>15120</x:v>
      </x:c>
      <x:c r="K71" s="30" t="n">
        <x:v>10850</x:v>
      </x:c>
      <x:c r="L71" s="30" t="n">
        <x:v>4270</x:v>
      </x:c>
    </x:row>
    <x:row r="72">
      <x:c r="A72" t="str">
        <x:v>TX-0071</x:v>
      </x:c>
      <x:c r="B72" s="28" t="n">
        <x:v>46058</x:v>
      </x:c>
      <x:c r="C72" t="str">
        <x:v>Rajshahi</x:v>
      </x:c>
      <x:c r="D72" t="str">
        <x:v>Partner</x:v>
      </x:c>
      <x:c r="E72" t="str">
        <x:v>Sneakers</x:v>
      </x:c>
      <x:c r="F72" t="str">
        <x:v>Footwear</x:v>
      </x:c>
      <x:c r="G72" t="n">
        <x:v>6</x:v>
      </x:c>
      <x:c r="H72" s="30" t="n">
        <x:v>2400</x:v>
      </x:c>
      <x:c r="I72" s="32" t="n">
        <x:v>0.15</x:v>
      </x:c>
      <x:c r="J72" s="30" t="n">
        <x:v>12240</x:v>
      </x:c>
      <x:c r="K72" s="30" t="n">
        <x:v>9300</x:v>
      </x:c>
      <x:c r="L72" s="30" t="n">
        <x:v>2940</x:v>
      </x:c>
    </x:row>
    <x:row r="73">
      <x:c r="A73" t="str">
        <x:v>TX-0072</x:v>
      </x:c>
      <x:c r="B73" s="28" t="n">
        <x:v>46058</x:v>
      </x:c>
      <x:c r="C73" t="str">
        <x:v>Khulna</x:v>
      </x:c>
      <x:c r="D73" t="str">
        <x:v>Partner</x:v>
      </x:c>
      <x:c r="E73" t="str">
        <x:v>Polo Shirt</x:v>
      </x:c>
      <x:c r="F73" t="str">
        <x:v>Apparel</x:v>
      </x:c>
      <x:c r="G73" t="n">
        <x:v>6</x:v>
      </x:c>
      <x:c r="H73" s="30" t="n">
        <x:v>1200</x:v>
      </x:c>
      <x:c r="I73" s="32" t="n">
        <x:v>0</x:v>
      </x:c>
      <x:c r="J73" s="30" t="n">
        <x:v>7200</x:v>
      </x:c>
      <x:c r="K73" s="30" t="n">
        <x:v>4320</x:v>
      </x:c>
      <x:c r="L73" s="30" t="n">
        <x:v>2880</x:v>
      </x:c>
    </x:row>
    <x:row r="74">
      <x:c r="A74" t="str">
        <x:v>TX-0073</x:v>
      </x:c>
      <x:c r="B74" s="28" t="n">
        <x:v>46059</x:v>
      </x:c>
      <x:c r="C74" t="str">
        <x:v>Dhaka</x:v>
      </x:c>
      <x:c r="D74" t="str">
        <x:v>Store</x:v>
      </x:c>
      <x:c r="E74" t="str">
        <x:v>Sneakers</x:v>
      </x:c>
      <x:c r="F74" t="str">
        <x:v>Footwear</x:v>
      </x:c>
      <x:c r="G74" t="n">
        <x:v>3</x:v>
      </x:c>
      <x:c r="H74" s="30" t="n">
        <x:v>2400</x:v>
      </x:c>
      <x:c r="I74" s="32" t="n">
        <x:v>0</x:v>
      </x:c>
      <x:c r="J74" s="30" t="n">
        <x:v>7200</x:v>
      </x:c>
      <x:c r="K74" s="30" t="n">
        <x:v>4650</x:v>
      </x:c>
      <x:c r="L74" s="30" t="n">
        <x:v>2550</x:v>
      </x:c>
    </x:row>
    <x:row r="75">
      <x:c r="A75" t="str">
        <x:v>TX-0074</x:v>
      </x:c>
      <x:c r="B75" s="28" t="n">
        <x:v>46059</x:v>
      </x:c>
      <x:c r="C75" t="str">
        <x:v>Chattogram</x:v>
      </x:c>
      <x:c r="D75" t="str">
        <x:v>Store</x:v>
      </x:c>
      <x:c r="E75" t="str">
        <x:v>Polo Shirt</x:v>
      </x:c>
      <x:c r="F75" t="str">
        <x:v>Apparel</x:v>
      </x:c>
      <x:c r="G75" t="n">
        <x:v>4</x:v>
      </x:c>
      <x:c r="H75" s="30" t="n">
        <x:v>1200</x:v>
      </x:c>
      <x:c r="I75" s="32" t="n">
        <x:v>0</x:v>
      </x:c>
      <x:c r="J75" s="30" t="n">
        <x:v>4800</x:v>
      </x:c>
      <x:c r="K75" s="30" t="n">
        <x:v>2880</x:v>
      </x:c>
      <x:c r="L75" s="30" t="n">
        <x:v>1920</x:v>
      </x:c>
    </x:row>
    <x:row r="76">
      <x:c r="A76" t="str">
        <x:v>TX-0075</x:v>
      </x:c>
      <x:c r="B76" s="28" t="n">
        <x:v>46060</x:v>
      </x:c>
      <x:c r="C76" t="str">
        <x:v>Rajshahi</x:v>
      </x:c>
      <x:c r="D76" t="str">
        <x:v>Store</x:v>
      </x:c>
      <x:c r="E76" t="str">
        <x:v>Formal Shirt</x:v>
      </x:c>
      <x:c r="F76" t="str">
        <x:v>Apparel</x:v>
      </x:c>
      <x:c r="G76" t="n">
        <x:v>2</x:v>
      </x:c>
      <x:c r="H76" s="30" t="n">
        <x:v>1450</x:v>
      </x:c>
      <x:c r="I76" s="32" t="n">
        <x:v>0.15</x:v>
      </x:c>
      <x:c r="J76" s="30" t="n">
        <x:v>2465</x:v>
      </x:c>
      <x:c r="K76" s="30" t="n">
        <x:v>1760</x:v>
      </x:c>
      <x:c r="L76" s="30" t="n">
        <x:v>705</x:v>
      </x:c>
    </x:row>
    <x:row r="77">
      <x:c r="A77" t="str">
        <x:v>TX-0076</x:v>
      </x:c>
      <x:c r="B77" s="28" t="n">
        <x:v>46060</x:v>
      </x:c>
      <x:c r="C77" t="str">
        <x:v>Khulna</x:v>
      </x:c>
      <x:c r="D77" t="str">
        <x:v>Online</x:v>
      </x:c>
      <x:c r="E77" t="str">
        <x:v>Notebook Set</x:v>
      </x:c>
      <x:c r="F77" t="str">
        <x:v>Stationery</x:v>
      </x:c>
      <x:c r="G77" t="n">
        <x:v>6</x:v>
      </x:c>
      <x:c r="H77" s="30" t="n">
        <x:v>320</x:v>
      </x:c>
      <x:c r="I77" s="32" t="n">
        <x:v>0</x:v>
      </x:c>
      <x:c r="J77" s="30" t="n">
        <x:v>1920</x:v>
      </x:c>
      <x:c r="K77" s="30" t="n">
        <x:v>1020</x:v>
      </x:c>
      <x:c r="L77" s="30" t="n">
        <x:v>900</x:v>
      </x:c>
    </x:row>
    <x:row r="78">
      <x:c r="A78" t="str">
        <x:v>TX-0077</x:v>
      </x:c>
      <x:c r="B78" s="28" t="n">
        <x:v>46061</x:v>
      </x:c>
      <x:c r="C78" t="str">
        <x:v>Dhaka</x:v>
      </x:c>
      <x:c r="D78" t="str">
        <x:v>Online</x:v>
      </x:c>
      <x:c r="E78" t="str">
        <x:v>Backpack</x:v>
      </x:c>
      <x:c r="F78" t="str">
        <x:v>Accessories</x:v>
      </x:c>
      <x:c r="G78" t="n">
        <x:v>6</x:v>
      </x:c>
      <x:c r="H78" s="30" t="n">
        <x:v>1800</x:v>
      </x:c>
      <x:c r="I78" s="32" t="n">
        <x:v>0</x:v>
      </x:c>
      <x:c r="J78" s="30" t="n">
        <x:v>10800</x:v>
      </x:c>
      <x:c r="K78" s="30" t="n">
        <x:v>6720</x:v>
      </x:c>
      <x:c r="L78" s="30" t="n">
        <x:v>4080</x:v>
      </x:c>
    </x:row>
    <x:row r="79">
      <x:c r="A79" t="str">
        <x:v>TX-0078</x:v>
      </x:c>
      <x:c r="B79" s="28" t="n">
        <x:v>46061</x:v>
      </x:c>
      <x:c r="C79" t="str">
        <x:v>Chattogram</x:v>
      </x:c>
      <x:c r="D79" t="str">
        <x:v>Online</x:v>
      </x:c>
      <x:c r="E79" t="str">
        <x:v>Formal Shirt</x:v>
      </x:c>
      <x:c r="F79" t="str">
        <x:v>Apparel</x:v>
      </x:c>
      <x:c r="G79" t="n">
        <x:v>8</x:v>
      </x:c>
      <x:c r="H79" s="30" t="n">
        <x:v>1450</x:v>
      </x:c>
      <x:c r="I79" s="32" t="n">
        <x:v>0.15</x:v>
      </x:c>
      <x:c r="J79" s="30" t="n">
        <x:v>9860</x:v>
      </x:c>
      <x:c r="K79" s="30" t="n">
        <x:v>7040</x:v>
      </x:c>
      <x:c r="L79" s="30" t="n">
        <x:v>2820</x:v>
      </x:c>
    </x:row>
    <x:row r="80">
      <x:c r="A80" t="str">
        <x:v>TX-0079</x:v>
      </x:c>
      <x:c r="B80" s="28" t="n">
        <x:v>46062</x:v>
      </x:c>
      <x:c r="C80" t="str">
        <x:v>Rajshahi</x:v>
      </x:c>
      <x:c r="D80" t="str">
        <x:v>Partner</x:v>
      </x:c>
      <x:c r="E80" t="str">
        <x:v>T-Shirt</x:v>
      </x:c>
      <x:c r="F80" t="str">
        <x:v>Apparel</x:v>
      </x:c>
      <x:c r="G80" t="n">
        <x:v>6</x:v>
      </x:c>
      <x:c r="H80" s="30" t="n">
        <x:v>650</x:v>
      </x:c>
      <x:c r="I80" s="32" t="n">
        <x:v>0.05</x:v>
      </x:c>
      <x:c r="J80" s="30" t="n">
        <x:v>3705</x:v>
      </x:c>
      <x:c r="K80" s="30" t="n">
        <x:v>2160</x:v>
      </x:c>
      <x:c r="L80" s="30" t="n">
        <x:v>1545</x:v>
      </x:c>
    </x:row>
    <x:row r="81">
      <x:c r="A81" t="str">
        <x:v>TX-0080</x:v>
      </x:c>
      <x:c r="B81" s="28" t="n">
        <x:v>46062</x:v>
      </x:c>
      <x:c r="C81" t="str">
        <x:v>Khulna</x:v>
      </x:c>
      <x:c r="D81" t="str">
        <x:v>Partner</x:v>
      </x:c>
      <x:c r="E81" t="str">
        <x:v>Sneakers</x:v>
      </x:c>
      <x:c r="F81" t="str">
        <x:v>Footwear</x:v>
      </x:c>
      <x:c r="G81" t="n">
        <x:v>6</x:v>
      </x:c>
      <x:c r="H81" s="30" t="n">
        <x:v>2400</x:v>
      </x:c>
      <x:c r="I81" s="32" t="n">
        <x:v>0.15</x:v>
      </x:c>
      <x:c r="J81" s="30" t="n">
        <x:v>12240</x:v>
      </x:c>
      <x:c r="K81" s="30" t="n">
        <x:v>9300</x:v>
      </x:c>
      <x:c r="L81" s="30" t="n">
        <x:v>2940</x:v>
      </x:c>
    </x:row>
    <x:row r="82">
      <x:c r="A82" t="str">
        <x:v>TX-0081</x:v>
      </x:c>
      <x:c r="B82" s="28" t="n">
        <x:v>46063</x:v>
      </x:c>
      <x:c r="C82" t="str">
        <x:v>Dhaka</x:v>
      </x:c>
      <x:c r="D82" t="str">
        <x:v>Partner</x:v>
      </x:c>
      <x:c r="E82" t="str">
        <x:v>Formal Shirt</x:v>
      </x:c>
      <x:c r="F82" t="str">
        <x:v>Apparel</x:v>
      </x:c>
      <x:c r="G82" t="n">
        <x:v>5</x:v>
      </x:c>
      <x:c r="H82" s="30" t="n">
        <x:v>1450</x:v>
      </x:c>
      <x:c r="I82" s="32" t="n">
        <x:v>0.15</x:v>
      </x:c>
      <x:c r="J82" s="30" t="n">
        <x:v>6162.5</x:v>
      </x:c>
      <x:c r="K82" s="30" t="n">
        <x:v>4400</x:v>
      </x:c>
      <x:c r="L82" s="30" t="n">
        <x:v>1762.5</x:v>
      </x:c>
    </x:row>
    <x:row r="83">
      <x:c r="A83" t="str">
        <x:v>TX-0082</x:v>
      </x:c>
      <x:c r="B83" s="28" t="n">
        <x:v>46063</x:v>
      </x:c>
      <x:c r="C83" t="str">
        <x:v>Chattogram</x:v>
      </x:c>
      <x:c r="D83" t="str">
        <x:v>Store</x:v>
      </x:c>
      <x:c r="E83" t="str">
        <x:v>Polo Shirt</x:v>
      </x:c>
      <x:c r="F83" t="str">
        <x:v>Apparel</x:v>
      </x:c>
      <x:c r="G83" t="n">
        <x:v>4</x:v>
      </x:c>
      <x:c r="H83" s="30" t="n">
        <x:v>1200</x:v>
      </x:c>
      <x:c r="I83" s="32" t="n">
        <x:v>0.1</x:v>
      </x:c>
      <x:c r="J83" s="30" t="n">
        <x:v>4320</x:v>
      </x:c>
      <x:c r="K83" s="30" t="n">
        <x:v>2880</x:v>
      </x:c>
      <x:c r="L83" s="30" t="n">
        <x:v>1440</x:v>
      </x:c>
    </x:row>
    <x:row r="84">
      <x:c r="A84" t="str">
        <x:v>TX-0083</x:v>
      </x:c>
      <x:c r="B84" s="28" t="n">
        <x:v>46064</x:v>
      </x:c>
      <x:c r="C84" t="str">
        <x:v>Rajshahi</x:v>
      </x:c>
      <x:c r="D84" t="str">
        <x:v>Store</x:v>
      </x:c>
      <x:c r="E84" t="str">
        <x:v>T-Shirt</x:v>
      </x:c>
      <x:c r="F84" t="str">
        <x:v>Apparel</x:v>
      </x:c>
      <x:c r="G84" t="n">
        <x:v>2</x:v>
      </x:c>
      <x:c r="H84" s="30" t="n">
        <x:v>650</x:v>
      </x:c>
      <x:c r="I84" s="32" t="n">
        <x:v>0</x:v>
      </x:c>
      <x:c r="J84" s="30" t="n">
        <x:v>1300</x:v>
      </x:c>
      <x:c r="K84" s="30" t="n">
        <x:v>720</x:v>
      </x:c>
      <x:c r="L84" s="30" t="n">
        <x:v>580</x:v>
      </x:c>
    </x:row>
    <x:row r="85">
      <x:c r="A85" t="str">
        <x:v>TX-0084</x:v>
      </x:c>
      <x:c r="B85" s="28" t="n">
        <x:v>46064</x:v>
      </x:c>
      <x:c r="C85" t="str">
        <x:v>Khulna</x:v>
      </x:c>
      <x:c r="D85" t="str">
        <x:v>Store</x:v>
      </x:c>
      <x:c r="E85" t="str">
        <x:v>Formal Shirt</x:v>
      </x:c>
      <x:c r="F85" t="str">
        <x:v>Apparel</x:v>
      </x:c>
      <x:c r="G85" t="n">
        <x:v>6</x:v>
      </x:c>
      <x:c r="H85" s="30" t="n">
        <x:v>1450</x:v>
      </x:c>
      <x:c r="I85" s="32" t="n">
        <x:v>0.1</x:v>
      </x:c>
      <x:c r="J85" s="30" t="n">
        <x:v>7830</x:v>
      </x:c>
      <x:c r="K85" s="30" t="n">
        <x:v>5280</x:v>
      </x:c>
      <x:c r="L85" s="30" t="n">
        <x:v>2550</x:v>
      </x:c>
    </x:row>
    <x:row r="86">
      <x:c r="A86" t="str">
        <x:v>TX-0085</x:v>
      </x:c>
      <x:c r="B86" s="28" t="n">
        <x:v>46065</x:v>
      </x:c>
      <x:c r="C86" t="str">
        <x:v>Dhaka</x:v>
      </x:c>
      <x:c r="D86" t="str">
        <x:v>Online</x:v>
      </x:c>
      <x:c r="E86" t="str">
        <x:v>Sneakers</x:v>
      </x:c>
      <x:c r="F86" t="str">
        <x:v>Footwear</x:v>
      </x:c>
      <x:c r="G86" t="n">
        <x:v>5</x:v>
      </x:c>
      <x:c r="H86" s="30" t="n">
        <x:v>2400</x:v>
      </x:c>
      <x:c r="I86" s="32" t="n">
        <x:v>0.15</x:v>
      </x:c>
      <x:c r="J86" s="30" t="n">
        <x:v>10200</x:v>
      </x:c>
      <x:c r="K86" s="30" t="n">
        <x:v>7750</x:v>
      </x:c>
      <x:c r="L86" s="30" t="n">
        <x:v>2450</x:v>
      </x:c>
    </x:row>
    <x:row r="87">
      <x:c r="A87" t="str">
        <x:v>TX-0086</x:v>
      </x:c>
      <x:c r="B87" s="28" t="n">
        <x:v>46065</x:v>
      </x:c>
      <x:c r="C87" t="str">
        <x:v>Chattogram</x:v>
      </x:c>
      <x:c r="D87" t="str">
        <x:v>Online</x:v>
      </x:c>
      <x:c r="E87" t="str">
        <x:v>Sneakers</x:v>
      </x:c>
      <x:c r="F87" t="str">
        <x:v>Footwear</x:v>
      </x:c>
      <x:c r="G87" t="n">
        <x:v>5</x:v>
      </x:c>
      <x:c r="H87" s="30" t="n">
        <x:v>2400</x:v>
      </x:c>
      <x:c r="I87" s="32" t="n">
        <x:v>0.15</x:v>
      </x:c>
      <x:c r="J87" s="30" t="n">
        <x:v>10200</x:v>
      </x:c>
      <x:c r="K87" s="30" t="n">
        <x:v>7750</x:v>
      </x:c>
      <x:c r="L87" s="30" t="n">
        <x:v>2450</x:v>
      </x:c>
    </x:row>
    <x:row r="88">
      <x:c r="A88" t="str">
        <x:v>TX-0087</x:v>
      </x:c>
      <x:c r="B88" s="28" t="n">
        <x:v>46066</x:v>
      </x:c>
      <x:c r="C88" t="str">
        <x:v>Rajshahi</x:v>
      </x:c>
      <x:c r="D88" t="str">
        <x:v>Online</x:v>
      </x:c>
      <x:c r="E88" t="str">
        <x:v>Notebook Set</x:v>
      </x:c>
      <x:c r="F88" t="str">
        <x:v>Stationery</x:v>
      </x:c>
      <x:c r="G88" t="n">
        <x:v>3</x:v>
      </x:c>
      <x:c r="H88" s="30" t="n">
        <x:v>320</x:v>
      </x:c>
      <x:c r="I88" s="32" t="n">
        <x:v>0</x:v>
      </x:c>
      <x:c r="J88" s="30" t="n">
        <x:v>960</x:v>
      </x:c>
      <x:c r="K88" s="30" t="n">
        <x:v>510</x:v>
      </x:c>
      <x:c r="L88" s="30" t="n">
        <x:v>450</x:v>
      </x:c>
    </x:row>
    <x:row r="89">
      <x:c r="A89" t="str">
        <x:v>TX-0088</x:v>
      </x:c>
      <x:c r="B89" s="28" t="n">
        <x:v>46066</x:v>
      </x:c>
      <x:c r="C89" t="str">
        <x:v>Khulna</x:v>
      </x:c>
      <x:c r="D89" t="str">
        <x:v>Partner</x:v>
      </x:c>
      <x:c r="E89" t="str">
        <x:v>Polo Shirt</x:v>
      </x:c>
      <x:c r="F89" t="str">
        <x:v>Apparel</x:v>
      </x:c>
      <x:c r="G89" t="n">
        <x:v>5</x:v>
      </x:c>
      <x:c r="H89" s="30" t="n">
        <x:v>1200</x:v>
      </x:c>
      <x:c r="I89" s="32" t="n">
        <x:v>0.05</x:v>
      </x:c>
      <x:c r="J89" s="30" t="n">
        <x:v>5700</x:v>
      </x:c>
      <x:c r="K89" s="30" t="n">
        <x:v>3600</x:v>
      </x:c>
      <x:c r="L89" s="30" t="n">
        <x:v>2100</x:v>
      </x:c>
    </x:row>
    <x:row r="90">
      <x:c r="A90" t="str">
        <x:v>TX-0089</x:v>
      </x:c>
      <x:c r="B90" s="28" t="n">
        <x:v>46067</x:v>
      </x:c>
      <x:c r="C90" t="str">
        <x:v>Dhaka</x:v>
      </x:c>
      <x:c r="D90" t="str">
        <x:v>Partner</x:v>
      </x:c>
      <x:c r="E90" t="str">
        <x:v>Sneakers</x:v>
      </x:c>
      <x:c r="F90" t="str">
        <x:v>Footwear</x:v>
      </x:c>
      <x:c r="G90" t="n">
        <x:v>4</x:v>
      </x:c>
      <x:c r="H90" s="30" t="n">
        <x:v>2400</x:v>
      </x:c>
      <x:c r="I90" s="32" t="n">
        <x:v>0.05</x:v>
      </x:c>
      <x:c r="J90" s="30" t="n">
        <x:v>9120</x:v>
      </x:c>
      <x:c r="K90" s="30" t="n">
        <x:v>6200</x:v>
      </x:c>
      <x:c r="L90" s="30" t="n">
        <x:v>2920</x:v>
      </x:c>
    </x:row>
    <x:row r="91">
      <x:c r="A91" t="str">
        <x:v>TX-0090</x:v>
      </x:c>
      <x:c r="B91" s="28" t="n">
        <x:v>46067</x:v>
      </x:c>
      <x:c r="C91" t="str">
        <x:v>Chattogram</x:v>
      </x:c>
      <x:c r="D91" t="str">
        <x:v>Partner</x:v>
      </x:c>
      <x:c r="E91" t="str">
        <x:v>Backpack</x:v>
      </x:c>
      <x:c r="F91" t="str">
        <x:v>Accessories</x:v>
      </x:c>
      <x:c r="G91" t="n">
        <x:v>3</x:v>
      </x:c>
      <x:c r="H91" s="30" t="n">
        <x:v>1800</x:v>
      </x:c>
      <x:c r="I91" s="32" t="n">
        <x:v>0.1</x:v>
      </x:c>
      <x:c r="J91" s="30" t="n">
        <x:v>4860</x:v>
      </x:c>
      <x:c r="K91" s="30" t="n">
        <x:v>3360</x:v>
      </x:c>
      <x:c r="L91" s="30" t="n">
        <x:v>1500</x:v>
      </x:c>
    </x:row>
    <x:row r="92">
      <x:c r="A92" t="str">
        <x:v>TX-0091</x:v>
      </x:c>
      <x:c r="B92" s="28" t="n">
        <x:v>46068</x:v>
      </x:c>
      <x:c r="C92" t="str">
        <x:v>Rajshahi</x:v>
      </x:c>
      <x:c r="D92" t="str">
        <x:v>Store</x:v>
      </x:c>
      <x:c r="E92" t="str">
        <x:v>Formal Shirt</x:v>
      </x:c>
      <x:c r="F92" t="str">
        <x:v>Apparel</x:v>
      </x:c>
      <x:c r="G92" t="n">
        <x:v>8</x:v>
      </x:c>
      <x:c r="H92" s="30" t="n">
        <x:v>1450</x:v>
      </x:c>
      <x:c r="I92" s="32" t="n">
        <x:v>0</x:v>
      </x:c>
      <x:c r="J92" s="30" t="n">
        <x:v>11600</x:v>
      </x:c>
      <x:c r="K92" s="30" t="n">
        <x:v>7040</x:v>
      </x:c>
      <x:c r="L92" s="30" t="n">
        <x:v>4560</x:v>
      </x:c>
    </x:row>
    <x:row r="93">
      <x:c r="A93" t="str">
        <x:v>TX-0092</x:v>
      </x:c>
      <x:c r="B93" s="28" t="n">
        <x:v>46068</x:v>
      </x:c>
      <x:c r="C93" t="str">
        <x:v>Khulna</x:v>
      </x:c>
      <x:c r="D93" t="str">
        <x:v>Store</x:v>
      </x:c>
      <x:c r="E93" t="str">
        <x:v>Sneakers</x:v>
      </x:c>
      <x:c r="F93" t="str">
        <x:v>Footwear</x:v>
      </x:c>
      <x:c r="G93" t="n">
        <x:v>2</x:v>
      </x:c>
      <x:c r="H93" s="30" t="n">
        <x:v>2400</x:v>
      </x:c>
      <x:c r="I93" s="32" t="n">
        <x:v>0</x:v>
      </x:c>
      <x:c r="J93" s="30" t="n">
        <x:v>4800</x:v>
      </x:c>
      <x:c r="K93" s="30" t="n">
        <x:v>3100</x:v>
      </x:c>
      <x:c r="L93" s="30" t="n">
        <x:v>1700</x:v>
      </x:c>
    </x:row>
    <x:row r="94">
      <x:c r="A94" t="str">
        <x:v>TX-0093</x:v>
      </x:c>
      <x:c r="B94" s="28" t="n">
        <x:v>46069</x:v>
      </x:c>
      <x:c r="C94" t="str">
        <x:v>Dhaka</x:v>
      </x:c>
      <x:c r="D94" t="str">
        <x:v>Store</x:v>
      </x:c>
      <x:c r="E94" t="str">
        <x:v>Notebook Set</x:v>
      </x:c>
      <x:c r="F94" t="str">
        <x:v>Stationery</x:v>
      </x:c>
      <x:c r="G94" t="n">
        <x:v>6</x:v>
      </x:c>
      <x:c r="H94" s="30" t="n">
        <x:v>320</x:v>
      </x:c>
      <x:c r="I94" s="32" t="n">
        <x:v>0.1</x:v>
      </x:c>
      <x:c r="J94" s="30" t="n">
        <x:v>1728</x:v>
      </x:c>
      <x:c r="K94" s="30" t="n">
        <x:v>1020</x:v>
      </x:c>
      <x:c r="L94" s="30" t="n">
        <x:v>708</x:v>
      </x:c>
    </x:row>
    <x:row r="95">
      <x:c r="A95" t="str">
        <x:v>TX-0094</x:v>
      </x:c>
      <x:c r="B95" s="28" t="n">
        <x:v>46069</x:v>
      </x:c>
      <x:c r="C95" t="str">
        <x:v>Chattogram</x:v>
      </x:c>
      <x:c r="D95" t="str">
        <x:v>Online</x:v>
      </x:c>
      <x:c r="E95" t="str">
        <x:v>Notebook Set</x:v>
      </x:c>
      <x:c r="F95" t="str">
        <x:v>Stationery</x:v>
      </x:c>
      <x:c r="G95" t="n">
        <x:v>5</x:v>
      </x:c>
      <x:c r="H95" s="30" t="n">
        <x:v>320</x:v>
      </x:c>
      <x:c r="I95" s="32" t="n">
        <x:v>0</x:v>
      </x:c>
      <x:c r="J95" s="30" t="n">
        <x:v>1600</x:v>
      </x:c>
      <x:c r="K95" s="30" t="n">
        <x:v>850</x:v>
      </x:c>
      <x:c r="L95" s="30" t="n">
        <x:v>750</x:v>
      </x:c>
    </x:row>
    <x:row r="96">
      <x:c r="A96" t="str">
        <x:v>TX-0095</x:v>
      </x:c>
      <x:c r="B96" s="28" t="n">
        <x:v>46070</x:v>
      </x:c>
      <x:c r="C96" t="str">
        <x:v>Rajshahi</x:v>
      </x:c>
      <x:c r="D96" t="str">
        <x:v>Online</x:v>
      </x:c>
      <x:c r="E96" t="str">
        <x:v>Polo Shirt</x:v>
      </x:c>
      <x:c r="F96" t="str">
        <x:v>Apparel</x:v>
      </x:c>
      <x:c r="G96" t="n">
        <x:v>3</x:v>
      </x:c>
      <x:c r="H96" s="30" t="n">
        <x:v>1200</x:v>
      </x:c>
      <x:c r="I96" s="32" t="n">
        <x:v>0.15</x:v>
      </x:c>
      <x:c r="J96" s="30" t="n">
        <x:v>3060</x:v>
      </x:c>
      <x:c r="K96" s="30" t="n">
        <x:v>2160</x:v>
      </x:c>
      <x:c r="L96" s="30" t="n">
        <x:v>900</x:v>
      </x:c>
    </x:row>
    <x:row r="97">
      <x:c r="A97" t="str">
        <x:v>TX-0096</x:v>
      </x:c>
      <x:c r="B97" s="28" t="n">
        <x:v>46070</x:v>
      </x:c>
      <x:c r="C97" t="str">
        <x:v>Khulna</x:v>
      </x:c>
      <x:c r="D97" t="str">
        <x:v>Online</x:v>
      </x:c>
      <x:c r="E97" t="str">
        <x:v>Formal Shirt</x:v>
      </x:c>
      <x:c r="F97" t="str">
        <x:v>Apparel</x:v>
      </x:c>
      <x:c r="G97" t="n">
        <x:v>4</x:v>
      </x:c>
      <x:c r="H97" s="30" t="n">
        <x:v>1450</x:v>
      </x:c>
      <x:c r="I97" s="32" t="n">
        <x:v>0</x:v>
      </x:c>
      <x:c r="J97" s="30" t="n">
        <x:v>5800</x:v>
      </x:c>
      <x:c r="K97" s="30" t="n">
        <x:v>3520</x:v>
      </x:c>
      <x:c r="L97" s="30" t="n">
        <x:v>2280</x:v>
      </x:c>
    </x:row>
    <x:row r="98">
      <x:c r="A98" t="str">
        <x:v>TX-0097</x:v>
      </x:c>
      <x:c r="B98" s="28" t="n">
        <x:v>46071</x:v>
      </x:c>
      <x:c r="C98" t="str">
        <x:v>Dhaka</x:v>
      </x:c>
      <x:c r="D98" t="str">
        <x:v>Partner</x:v>
      </x:c>
      <x:c r="E98" t="str">
        <x:v>Polo Shirt</x:v>
      </x:c>
      <x:c r="F98" t="str">
        <x:v>Apparel</x:v>
      </x:c>
      <x:c r="G98" t="n">
        <x:v>1</x:v>
      </x:c>
      <x:c r="H98" s="30" t="n">
        <x:v>1200</x:v>
      </x:c>
      <x:c r="I98" s="32" t="n">
        <x:v>0</x:v>
      </x:c>
      <x:c r="J98" s="30" t="n">
        <x:v>1200</x:v>
      </x:c>
      <x:c r="K98" s="30" t="n">
        <x:v>720</x:v>
      </x:c>
      <x:c r="L98" s="30" t="n">
        <x:v>480</x:v>
      </x:c>
    </x:row>
    <x:row r="99">
      <x:c r="A99" t="str">
        <x:v>TX-0098</x:v>
      </x:c>
      <x:c r="B99" s="28" t="n">
        <x:v>46071</x:v>
      </x:c>
      <x:c r="C99" t="str">
        <x:v>Chattogram</x:v>
      </x:c>
      <x:c r="D99" t="str">
        <x:v>Partner</x:v>
      </x:c>
      <x:c r="E99" t="str">
        <x:v>Formal Shirt</x:v>
      </x:c>
      <x:c r="F99" t="str">
        <x:v>Apparel</x:v>
      </x:c>
      <x:c r="G99" t="n">
        <x:v>3</x:v>
      </x:c>
      <x:c r="H99" s="30" t="n">
        <x:v>1450</x:v>
      </x:c>
      <x:c r="I99" s="32" t="n">
        <x:v>0</x:v>
      </x:c>
      <x:c r="J99" s="30" t="n">
        <x:v>4350</x:v>
      </x:c>
      <x:c r="K99" s="30" t="n">
        <x:v>2640</x:v>
      </x:c>
      <x:c r="L99" s="30" t="n">
        <x:v>1710</x:v>
      </x:c>
    </x:row>
    <x:row r="100">
      <x:c r="A100" t="str">
        <x:v>TX-0099</x:v>
      </x:c>
      <x:c r="B100" s="28" t="n">
        <x:v>46072</x:v>
      </x:c>
      <x:c r="C100" t="str">
        <x:v>Rajshahi</x:v>
      </x:c>
      <x:c r="D100" t="str">
        <x:v>Partner</x:v>
      </x:c>
      <x:c r="E100" t="str">
        <x:v>Backpack</x:v>
      </x:c>
      <x:c r="F100" t="str">
        <x:v>Accessories</x:v>
      </x:c>
      <x:c r="G100" t="n">
        <x:v>8</x:v>
      </x:c>
      <x:c r="H100" s="30" t="n">
        <x:v>1800</x:v>
      </x:c>
      <x:c r="I100" s="32" t="n">
        <x:v>0</x:v>
      </x:c>
      <x:c r="J100" s="30" t="n">
        <x:v>14400</x:v>
      </x:c>
      <x:c r="K100" s="30" t="n">
        <x:v>8960</x:v>
      </x:c>
      <x:c r="L100" s="30" t="n">
        <x:v>5440</x:v>
      </x:c>
    </x:row>
    <x:row r="101">
      <x:c r="A101" t="str">
        <x:v>TX-0100</x:v>
      </x:c>
      <x:c r="B101" s="28" t="n">
        <x:v>46072</x:v>
      </x:c>
      <x:c r="C101" t="str">
        <x:v>Khulna</x:v>
      </x:c>
      <x:c r="D101" t="str">
        <x:v>Store</x:v>
      </x:c>
      <x:c r="E101" t="str">
        <x:v>Sneakers</x:v>
      </x:c>
      <x:c r="F101" t="str">
        <x:v>Footwear</x:v>
      </x:c>
      <x:c r="G101" t="n">
        <x:v>8</x:v>
      </x:c>
      <x:c r="H101" s="30" t="n">
        <x:v>2400</x:v>
      </x:c>
      <x:c r="I101" s="32" t="n">
        <x:v>0</x:v>
      </x:c>
      <x:c r="J101" s="30" t="n">
        <x:v>19200</x:v>
      </x:c>
      <x:c r="K101" s="30" t="n">
        <x:v>12400</x:v>
      </x:c>
      <x:c r="L101" s="30" t="n">
        <x:v>6800</x:v>
      </x:c>
    </x:row>
    <x:row r="102">
      <x:c r="A102" t="str">
        <x:v>TX-0101</x:v>
      </x:c>
      <x:c r="B102" s="28" t="n">
        <x:v>46073</x:v>
      </x:c>
      <x:c r="C102" t="str">
        <x:v>Dhaka</x:v>
      </x:c>
      <x:c r="D102" t="str">
        <x:v>Store</x:v>
      </x:c>
      <x:c r="E102" t="str">
        <x:v>Polo Shirt</x:v>
      </x:c>
      <x:c r="F102" t="str">
        <x:v>Apparel</x:v>
      </x:c>
      <x:c r="G102" t="n">
        <x:v>5</x:v>
      </x:c>
      <x:c r="H102" s="30" t="n">
        <x:v>1200</x:v>
      </x:c>
      <x:c r="I102" s="32" t="n">
        <x:v>0.05</x:v>
      </x:c>
      <x:c r="J102" s="30" t="n">
        <x:v>5700</x:v>
      </x:c>
      <x:c r="K102" s="30" t="n">
        <x:v>3600</x:v>
      </x:c>
      <x:c r="L102" s="30" t="n">
        <x:v>2100</x:v>
      </x:c>
    </x:row>
    <x:row r="103">
      <x:c r="A103" t="str">
        <x:v>TX-0102</x:v>
      </x:c>
      <x:c r="B103" s="28" t="n">
        <x:v>46073</x:v>
      </x:c>
      <x:c r="C103" t="str">
        <x:v>Chattogram</x:v>
      </x:c>
      <x:c r="D103" t="str">
        <x:v>Store</x:v>
      </x:c>
      <x:c r="E103" t="str">
        <x:v>Notebook Set</x:v>
      </x:c>
      <x:c r="F103" t="str">
        <x:v>Stationery</x:v>
      </x:c>
      <x:c r="G103" t="n">
        <x:v>5</x:v>
      </x:c>
      <x:c r="H103" s="30" t="n">
        <x:v>320</x:v>
      </x:c>
      <x:c r="I103" s="32" t="n">
        <x:v>0</x:v>
      </x:c>
      <x:c r="J103" s="30" t="n">
        <x:v>1600</x:v>
      </x:c>
      <x:c r="K103" s="30" t="n">
        <x:v>850</x:v>
      </x:c>
      <x:c r="L103" s="30" t="n">
        <x:v>750</x:v>
      </x:c>
    </x:row>
    <x:row r="104">
      <x:c r="A104" t="str">
        <x:v>TX-0103</x:v>
      </x:c>
      <x:c r="B104" s="28" t="n">
        <x:v>46074</x:v>
      </x:c>
      <x:c r="C104" t="str">
        <x:v>Rajshahi</x:v>
      </x:c>
      <x:c r="D104" t="str">
        <x:v>Online</x:v>
      </x:c>
      <x:c r="E104" t="str">
        <x:v>Notebook Set</x:v>
      </x:c>
      <x:c r="F104" t="str">
        <x:v>Stationery</x:v>
      </x:c>
      <x:c r="G104" t="n">
        <x:v>7</x:v>
      </x:c>
      <x:c r="H104" s="30" t="n">
        <x:v>320</x:v>
      </x:c>
      <x:c r="I104" s="32" t="n">
        <x:v>0.05</x:v>
      </x:c>
      <x:c r="J104" s="30" t="n">
        <x:v>2128</x:v>
      </x:c>
      <x:c r="K104" s="30" t="n">
        <x:v>1190</x:v>
      </x:c>
      <x:c r="L104" s="30" t="n">
        <x:v>938</x:v>
      </x:c>
    </x:row>
    <x:row r="105">
      <x:c r="A105" t="str">
        <x:v>TX-0104</x:v>
      </x:c>
      <x:c r="B105" s="28" t="n">
        <x:v>46074</x:v>
      </x:c>
      <x:c r="C105" t="str">
        <x:v>Khulna</x:v>
      </x:c>
      <x:c r="D105" t="str">
        <x:v>Online</x:v>
      </x:c>
      <x:c r="E105" t="str">
        <x:v>Polo Shirt</x:v>
      </x:c>
      <x:c r="F105" t="str">
        <x:v>Apparel</x:v>
      </x:c>
      <x:c r="G105" t="n">
        <x:v>2</x:v>
      </x:c>
      <x:c r="H105" s="30" t="n">
        <x:v>1200</x:v>
      </x:c>
      <x:c r="I105" s="32" t="n">
        <x:v>0</x:v>
      </x:c>
      <x:c r="J105" s="30" t="n">
        <x:v>2400</x:v>
      </x:c>
      <x:c r="K105" s="30" t="n">
        <x:v>1440</x:v>
      </x:c>
      <x:c r="L105" s="30" t="n">
        <x:v>960</x:v>
      </x:c>
    </x:row>
    <x:row r="106">
      <x:c r="A106" t="str">
        <x:v>TX-0105</x:v>
      </x:c>
      <x:c r="B106" s="28" t="n">
        <x:v>46075</x:v>
      </x:c>
      <x:c r="C106" t="str">
        <x:v>Dhaka</x:v>
      </x:c>
      <x:c r="D106" t="str">
        <x:v>Online</x:v>
      </x:c>
      <x:c r="E106" t="str">
        <x:v>Sneakers</x:v>
      </x:c>
      <x:c r="F106" t="str">
        <x:v>Footwear</x:v>
      </x:c>
      <x:c r="G106" t="n">
        <x:v>4</x:v>
      </x:c>
      <x:c r="H106" s="30" t="n">
        <x:v>2400</x:v>
      </x:c>
      <x:c r="I106" s="32" t="n">
        <x:v>0</x:v>
      </x:c>
      <x:c r="J106" s="30" t="n">
        <x:v>9600</x:v>
      </x:c>
      <x:c r="K106" s="30" t="n">
        <x:v>6200</x:v>
      </x:c>
      <x:c r="L106" s="30" t="n">
        <x:v>3400</x:v>
      </x:c>
    </x:row>
    <x:row r="107">
      <x:c r="A107" t="str">
        <x:v>TX-0106</x:v>
      </x:c>
      <x:c r="B107" s="28" t="n">
        <x:v>46075</x:v>
      </x:c>
      <x:c r="C107" t="str">
        <x:v>Chattogram</x:v>
      </x:c>
      <x:c r="D107" t="str">
        <x:v>Partner</x:v>
      </x:c>
      <x:c r="E107" t="str">
        <x:v>Backpack</x:v>
      </x:c>
      <x:c r="F107" t="str">
        <x:v>Accessories</x:v>
      </x:c>
      <x:c r="G107" t="n">
        <x:v>2</x:v>
      </x:c>
      <x:c r="H107" s="30" t="n">
        <x:v>1800</x:v>
      </x:c>
      <x:c r="I107" s="32" t="n">
        <x:v>0.1</x:v>
      </x:c>
      <x:c r="J107" s="30" t="n">
        <x:v>3240</x:v>
      </x:c>
      <x:c r="K107" s="30" t="n">
        <x:v>2240</x:v>
      </x:c>
      <x:c r="L107" s="30" t="n">
        <x:v>1000</x:v>
      </x:c>
    </x:row>
    <x:row r="108">
      <x:c r="A108" t="str">
        <x:v>TX-0107</x:v>
      </x:c>
      <x:c r="B108" s="28" t="n">
        <x:v>46076</x:v>
      </x:c>
      <x:c r="C108" t="str">
        <x:v>Rajshahi</x:v>
      </x:c>
      <x:c r="D108" t="str">
        <x:v>Partner</x:v>
      </x:c>
      <x:c r="E108" t="str">
        <x:v>Notebook Set</x:v>
      </x:c>
      <x:c r="F108" t="str">
        <x:v>Stationery</x:v>
      </x:c>
      <x:c r="G108" t="n">
        <x:v>3</x:v>
      </x:c>
      <x:c r="H108" s="30" t="n">
        <x:v>320</x:v>
      </x:c>
      <x:c r="I108" s="32" t="n">
        <x:v>0</x:v>
      </x:c>
      <x:c r="J108" s="30" t="n">
        <x:v>960</x:v>
      </x:c>
      <x:c r="K108" s="30" t="n">
        <x:v>510</x:v>
      </x:c>
      <x:c r="L108" s="30" t="n">
        <x:v>450</x:v>
      </x:c>
    </x:row>
    <x:row r="109">
      <x:c r="A109" t="str">
        <x:v>TX-0108</x:v>
      </x:c>
      <x:c r="B109" s="28" t="n">
        <x:v>46076</x:v>
      </x:c>
      <x:c r="C109" t="str">
        <x:v>Khulna</x:v>
      </x:c>
      <x:c r="D109" t="str">
        <x:v>Partner</x:v>
      </x:c>
      <x:c r="E109" t="str">
        <x:v>Polo Shirt</x:v>
      </x:c>
      <x:c r="F109" t="str">
        <x:v>Apparel</x:v>
      </x:c>
      <x:c r="G109" t="n">
        <x:v>6</x:v>
      </x:c>
      <x:c r="H109" s="30" t="n">
        <x:v>1200</x:v>
      </x:c>
      <x:c r="I109" s="32" t="n">
        <x:v>0.15</x:v>
      </x:c>
      <x:c r="J109" s="30" t="n">
        <x:v>6120</x:v>
      </x:c>
      <x:c r="K109" s="30" t="n">
        <x:v>4320</x:v>
      </x:c>
      <x:c r="L109" s="30" t="n">
        <x:v>1800</x:v>
      </x:c>
    </x:row>
    <x:row r="110">
      <x:c r="A110" t="str">
        <x:v>TX-0109</x:v>
      </x:c>
      <x:c r="B110" s="28" t="n">
        <x:v>46077</x:v>
      </x:c>
      <x:c r="C110" t="str">
        <x:v>Dhaka</x:v>
      </x:c>
      <x:c r="D110" t="str">
        <x:v>Store</x:v>
      </x:c>
      <x:c r="E110" t="str">
        <x:v>Sneakers</x:v>
      </x:c>
      <x:c r="F110" t="str">
        <x:v>Footwear</x:v>
      </x:c>
      <x:c r="G110" t="n">
        <x:v>5</x:v>
      </x:c>
      <x:c r="H110" s="30" t="n">
        <x:v>2400</x:v>
      </x:c>
      <x:c r="I110" s="32" t="n">
        <x:v>0.05</x:v>
      </x:c>
      <x:c r="J110" s="30" t="n">
        <x:v>11400</x:v>
      </x:c>
      <x:c r="K110" s="30" t="n">
        <x:v>7750</x:v>
      </x:c>
      <x:c r="L110" s="30" t="n">
        <x:v>3650</x:v>
      </x:c>
    </x:row>
    <x:row r="111">
      <x:c r="A111" t="str">
        <x:v>TX-0110</x:v>
      </x:c>
      <x:c r="B111" s="28" t="n">
        <x:v>46077</x:v>
      </x:c>
      <x:c r="C111" t="str">
        <x:v>Chattogram</x:v>
      </x:c>
      <x:c r="D111" t="str">
        <x:v>Store</x:v>
      </x:c>
      <x:c r="E111" t="str">
        <x:v>Notebook Set</x:v>
      </x:c>
      <x:c r="F111" t="str">
        <x:v>Stationery</x:v>
      </x:c>
      <x:c r="G111" t="n">
        <x:v>5</x:v>
      </x:c>
      <x:c r="H111" s="30" t="n">
        <x:v>320</x:v>
      </x:c>
      <x:c r="I111" s="32" t="n">
        <x:v>0</x:v>
      </x:c>
      <x:c r="J111" s="30" t="n">
        <x:v>1600</x:v>
      </x:c>
      <x:c r="K111" s="30" t="n">
        <x:v>850</x:v>
      </x:c>
      <x:c r="L111" s="30" t="n">
        <x:v>750</x:v>
      </x:c>
    </x:row>
    <x:row r="112">
      <x:c r="A112" t="str">
        <x:v>TX-0111</x:v>
      </x:c>
      <x:c r="B112" s="28" t="n">
        <x:v>46078</x:v>
      </x:c>
      <x:c r="C112" t="str">
        <x:v>Rajshahi</x:v>
      </x:c>
      <x:c r="D112" t="str">
        <x:v>Store</x:v>
      </x:c>
      <x:c r="E112" t="str">
        <x:v>Formal Shirt</x:v>
      </x:c>
      <x:c r="F112" t="str">
        <x:v>Apparel</x:v>
      </x:c>
      <x:c r="G112" t="n">
        <x:v>7</x:v>
      </x:c>
      <x:c r="H112" s="30" t="n">
        <x:v>1450</x:v>
      </x:c>
      <x:c r="I112" s="32" t="n">
        <x:v>0.1</x:v>
      </x:c>
      <x:c r="J112" s="30" t="n">
        <x:v>9135</x:v>
      </x:c>
      <x:c r="K112" s="30" t="n">
        <x:v>6160</x:v>
      </x:c>
      <x:c r="L112" s="30" t="n">
        <x:v>2975</x:v>
      </x:c>
    </x:row>
    <x:row r="113">
      <x:c r="A113" t="str">
        <x:v>TX-0112</x:v>
      </x:c>
      <x:c r="B113" s="28" t="n">
        <x:v>46078</x:v>
      </x:c>
      <x:c r="C113" t="str">
        <x:v>Khulna</x:v>
      </x:c>
      <x:c r="D113" t="str">
        <x:v>Online</x:v>
      </x:c>
      <x:c r="E113" t="str">
        <x:v>Sneakers</x:v>
      </x:c>
      <x:c r="F113" t="str">
        <x:v>Footwear</x:v>
      </x:c>
      <x:c r="G113" t="n">
        <x:v>4</x:v>
      </x:c>
      <x:c r="H113" s="30" t="n">
        <x:v>2400</x:v>
      </x:c>
      <x:c r="I113" s="32" t="n">
        <x:v>0</x:v>
      </x:c>
      <x:c r="J113" s="30" t="n">
        <x:v>9600</x:v>
      </x:c>
      <x:c r="K113" s="30" t="n">
        <x:v>6200</x:v>
      </x:c>
      <x:c r="L113" s="30" t="n">
        <x:v>3400</x:v>
      </x:c>
    </x:row>
    <x:row r="114">
      <x:c r="A114" t="str">
        <x:v>TX-0113</x:v>
      </x:c>
      <x:c r="B114" s="28" t="n">
        <x:v>46079</x:v>
      </x:c>
      <x:c r="C114" t="str">
        <x:v>Dhaka</x:v>
      </x:c>
      <x:c r="D114" t="str">
        <x:v>Online</x:v>
      </x:c>
      <x:c r="E114" t="str">
        <x:v>Formal Shirt</x:v>
      </x:c>
      <x:c r="F114" t="str">
        <x:v>Apparel</x:v>
      </x:c>
      <x:c r="G114" t="n">
        <x:v>1</x:v>
      </x:c>
      <x:c r="H114" s="30" t="n">
        <x:v>1450</x:v>
      </x:c>
      <x:c r="I114" s="32" t="n">
        <x:v>0</x:v>
      </x:c>
      <x:c r="J114" s="30" t="n">
        <x:v>1450</x:v>
      </x:c>
      <x:c r="K114" s="30" t="n">
        <x:v>880</x:v>
      </x:c>
      <x:c r="L114" s="30" t="n">
        <x:v>570</x:v>
      </x:c>
    </x:row>
    <x:row r="115">
      <x:c r="A115" t="str">
        <x:v>TX-0114</x:v>
      </x:c>
      <x:c r="B115" s="28" t="n">
        <x:v>46079</x:v>
      </x:c>
      <x:c r="C115" t="str">
        <x:v>Chattogram</x:v>
      </x:c>
      <x:c r="D115" t="str">
        <x:v>Online</x:v>
      </x:c>
      <x:c r="E115" t="str">
        <x:v>Sneakers</x:v>
      </x:c>
      <x:c r="F115" t="str">
        <x:v>Footwear</x:v>
      </x:c>
      <x:c r="G115" t="n">
        <x:v>8</x:v>
      </x:c>
      <x:c r="H115" s="30" t="n">
        <x:v>2400</x:v>
      </x:c>
      <x:c r="I115" s="32" t="n">
        <x:v>0.05</x:v>
      </x:c>
      <x:c r="J115" s="30" t="n">
        <x:v>18240</x:v>
      </x:c>
      <x:c r="K115" s="30" t="n">
        <x:v>12400</x:v>
      </x:c>
      <x:c r="L115" s="30" t="n">
        <x:v>5840</x:v>
      </x:c>
    </x:row>
    <x:row r="116">
      <x:c r="A116" t="str">
        <x:v>TX-0115</x:v>
      </x:c>
      <x:c r="B116" s="28" t="n">
        <x:v>46080</x:v>
      </x:c>
      <x:c r="C116" t="str">
        <x:v>Rajshahi</x:v>
      </x:c>
      <x:c r="D116" t="str">
        <x:v>Partner</x:v>
      </x:c>
      <x:c r="E116" t="str">
        <x:v>Polo Shirt</x:v>
      </x:c>
      <x:c r="F116" t="str">
        <x:v>Apparel</x:v>
      </x:c>
      <x:c r="G116" t="n">
        <x:v>2</x:v>
      </x:c>
      <x:c r="H116" s="30" t="n">
        <x:v>1200</x:v>
      </x:c>
      <x:c r="I116" s="32" t="n">
        <x:v>0.05</x:v>
      </x:c>
      <x:c r="J116" s="30" t="n">
        <x:v>2280</x:v>
      </x:c>
      <x:c r="K116" s="30" t="n">
        <x:v>1440</x:v>
      </x:c>
      <x:c r="L116" s="30" t="n">
        <x:v>840</x:v>
      </x:c>
    </x:row>
    <x:row r="117">
      <x:c r="A117" t="str">
        <x:v>TX-0116</x:v>
      </x:c>
      <x:c r="B117" s="28" t="n">
        <x:v>46080</x:v>
      </x:c>
      <x:c r="C117" t="str">
        <x:v>Khulna</x:v>
      </x:c>
      <x:c r="D117" t="str">
        <x:v>Partner</x:v>
      </x:c>
      <x:c r="E117" t="str">
        <x:v>Notebook Set</x:v>
      </x:c>
      <x:c r="F117" t="str">
        <x:v>Stationery</x:v>
      </x:c>
      <x:c r="G117" t="n">
        <x:v>1</x:v>
      </x:c>
      <x:c r="H117" s="30" t="n">
        <x:v>320</x:v>
      </x:c>
      <x:c r="I117" s="32" t="n">
        <x:v>0</x:v>
      </x:c>
      <x:c r="J117" s="30" t="n">
        <x:v>320</x:v>
      </x:c>
      <x:c r="K117" s="30" t="n">
        <x:v>170</x:v>
      </x:c>
      <x:c r="L117" s="30" t="n">
        <x:v>150</x:v>
      </x:c>
    </x:row>
    <x:row r="118">
      <x:c r="A118" t="str">
        <x:v>TX-0117</x:v>
      </x:c>
      <x:c r="B118" s="28" t="n">
        <x:v>46081</x:v>
      </x:c>
      <x:c r="C118" t="str">
        <x:v>Dhaka</x:v>
      </x:c>
      <x:c r="D118" t="str">
        <x:v>Partner</x:v>
      </x:c>
      <x:c r="E118" t="str">
        <x:v>Formal Shirt</x:v>
      </x:c>
      <x:c r="F118" t="str">
        <x:v>Apparel</x:v>
      </x:c>
      <x:c r="G118" t="n">
        <x:v>6</x:v>
      </x:c>
      <x:c r="H118" s="30" t="n">
        <x:v>1450</x:v>
      </x:c>
      <x:c r="I118" s="32" t="n">
        <x:v>0.05</x:v>
      </x:c>
      <x:c r="J118" s="30" t="n">
        <x:v>8265</x:v>
      </x:c>
      <x:c r="K118" s="30" t="n">
        <x:v>5280</x:v>
      </x:c>
      <x:c r="L118" s="30" t="n">
        <x:v>2985</x:v>
      </x:c>
    </x:row>
    <x:row r="119">
      <x:c r="A119" t="str">
        <x:v>TX-0118</x:v>
      </x:c>
      <x:c r="B119" s="28" t="n">
        <x:v>46081</x:v>
      </x:c>
      <x:c r="C119" t="str">
        <x:v>Chattogram</x:v>
      </x:c>
      <x:c r="D119" t="str">
        <x:v>Store</x:v>
      </x:c>
      <x:c r="E119" t="str">
        <x:v>Polo Shirt</x:v>
      </x:c>
      <x:c r="F119" t="str">
        <x:v>Apparel</x:v>
      </x:c>
      <x:c r="G119" t="n">
        <x:v>8</x:v>
      </x:c>
      <x:c r="H119" s="30" t="n">
        <x:v>1200</x:v>
      </x:c>
      <x:c r="I119" s="32" t="n">
        <x:v>0</x:v>
      </x:c>
      <x:c r="J119" s="30" t="n">
        <x:v>9600</x:v>
      </x:c>
      <x:c r="K119" s="30" t="n">
        <x:v>5760</x:v>
      </x:c>
      <x:c r="L119" s="30" t="n">
        <x:v>3840</x:v>
      </x:c>
    </x:row>
    <x:row r="120">
      <x:c r="A120" t="str">
        <x:v>TX-0119</x:v>
      </x:c>
      <x:c r="B120" s="28" t="n">
        <x:v>46082</x:v>
      </x:c>
      <x:c r="C120" t="str">
        <x:v>Rajshahi</x:v>
      </x:c>
      <x:c r="D120" t="str">
        <x:v>Store</x:v>
      </x:c>
      <x:c r="E120" t="str">
        <x:v>Polo Shirt</x:v>
      </x:c>
      <x:c r="F120" t="str">
        <x:v>Apparel</x:v>
      </x:c>
      <x:c r="G120" t="n">
        <x:v>5</x:v>
      </x:c>
      <x:c r="H120" s="30" t="n">
        <x:v>1200</x:v>
      </x:c>
      <x:c r="I120" s="32" t="n">
        <x:v>0</x:v>
      </x:c>
      <x:c r="J120" s="30" t="n">
        <x:v>6000</x:v>
      </x:c>
      <x:c r="K120" s="30" t="n">
        <x:v>3600</x:v>
      </x:c>
      <x:c r="L120" s="30" t="n">
        <x:v>2400</x:v>
      </x:c>
    </x:row>
    <x:row r="121">
      <x:c r="A121" t="str">
        <x:v>TX-0120</x:v>
      </x:c>
      <x:c r="B121" s="28" t="n">
        <x:v>46082</x:v>
      </x:c>
      <x:c r="C121" t="str">
        <x:v>Khulna</x:v>
      </x:c>
      <x:c r="D121" t="str">
        <x:v>Store</x:v>
      </x:c>
      <x:c r="E121" t="str">
        <x:v>Sneakers</x:v>
      </x:c>
      <x:c r="F121" t="str">
        <x:v>Footwear</x:v>
      </x:c>
      <x:c r="G121" t="n">
        <x:v>2</x:v>
      </x:c>
      <x:c r="H121" s="30" t="n">
        <x:v>2400</x:v>
      </x:c>
      <x:c r="I121" s="32" t="n">
        <x:v>0</x:v>
      </x:c>
      <x:c r="J121" s="30" t="n">
        <x:v>4800</x:v>
      </x:c>
      <x:c r="K121" s="30" t="n">
        <x:v>3100</x:v>
      </x:c>
      <x:c r="L121" s="30" t="n">
        <x:v>1700</x:v>
      </x:c>
    </x:row>
    <x:row r="122">
      <x:c r="A122" t="str">
        <x:v>TX-0121</x:v>
      </x:c>
      <x:c r="B122" s="28" t="n">
        <x:v>46083</x:v>
      </x:c>
      <x:c r="C122" t="str">
        <x:v>Dhaka</x:v>
      </x:c>
      <x:c r="D122" t="str">
        <x:v>Online</x:v>
      </x:c>
      <x:c r="E122" t="str">
        <x:v>Notebook Set</x:v>
      </x:c>
      <x:c r="F122" t="str">
        <x:v>Stationery</x:v>
      </x:c>
      <x:c r="G122" t="n">
        <x:v>3</x:v>
      </x:c>
      <x:c r="H122" s="30" t="n">
        <x:v>320</x:v>
      </x:c>
      <x:c r="I122" s="32" t="n">
        <x:v>0</x:v>
      </x:c>
      <x:c r="J122" s="30" t="n">
        <x:v>960</x:v>
      </x:c>
      <x:c r="K122" s="30" t="n">
        <x:v>510</x:v>
      </x:c>
      <x:c r="L122" s="30" t="n">
        <x:v>450</x:v>
      </x:c>
    </x:row>
    <x:row r="123">
      <x:c r="A123" t="str">
        <x:v>TX-0122</x:v>
      </x:c>
      <x:c r="B123" s="28" t="n">
        <x:v>46083</x:v>
      </x:c>
      <x:c r="C123" t="str">
        <x:v>Chattogram</x:v>
      </x:c>
      <x:c r="D123" t="str">
        <x:v>Online</x:v>
      </x:c>
      <x:c r="E123" t="str">
        <x:v>T-Shirt</x:v>
      </x:c>
      <x:c r="F123" t="str">
        <x:v>Apparel</x:v>
      </x:c>
      <x:c r="G123" t="n">
        <x:v>3</x:v>
      </x:c>
      <x:c r="H123" s="30" t="n">
        <x:v>650</x:v>
      </x:c>
      <x:c r="I123" s="32" t="n">
        <x:v>0.1</x:v>
      </x:c>
      <x:c r="J123" s="30" t="n">
        <x:v>1755</x:v>
      </x:c>
      <x:c r="K123" s="30" t="n">
        <x:v>1080</x:v>
      </x:c>
      <x:c r="L123" s="30" t="n">
        <x:v>675</x:v>
      </x:c>
    </x:row>
    <x:row r="124">
      <x:c r="A124" t="str">
        <x:v>TX-0123</x:v>
      </x:c>
      <x:c r="B124" s="28" t="n">
        <x:v>46084</x:v>
      </x:c>
      <x:c r="C124" t="str">
        <x:v>Rajshahi</x:v>
      </x:c>
      <x:c r="D124" t="str">
        <x:v>Online</x:v>
      </x:c>
      <x:c r="E124" t="str">
        <x:v>Polo Shirt</x:v>
      </x:c>
      <x:c r="F124" t="str">
        <x:v>Apparel</x:v>
      </x:c>
      <x:c r="G124" t="n">
        <x:v>1</x:v>
      </x:c>
      <x:c r="H124" s="30" t="n">
        <x:v>1200</x:v>
      </x:c>
      <x:c r="I124" s="32" t="n">
        <x:v>0</x:v>
      </x:c>
      <x:c r="J124" s="30" t="n">
        <x:v>1200</x:v>
      </x:c>
      <x:c r="K124" s="30" t="n">
        <x:v>720</x:v>
      </x:c>
      <x:c r="L124" s="30" t="n">
        <x:v>480</x:v>
      </x:c>
    </x:row>
    <x:row r="125">
      <x:c r="A125" t="str">
        <x:v>TX-0124</x:v>
      </x:c>
      <x:c r="B125" s="28" t="n">
        <x:v>46084</x:v>
      </x:c>
      <x:c r="C125" t="str">
        <x:v>Khulna</x:v>
      </x:c>
      <x:c r="D125" t="str">
        <x:v>Partner</x:v>
      </x:c>
      <x:c r="E125" t="str">
        <x:v>Sneakers</x:v>
      </x:c>
      <x:c r="F125" t="str">
        <x:v>Footwear</x:v>
      </x:c>
      <x:c r="G125" t="n">
        <x:v>2</x:v>
      </x:c>
      <x:c r="H125" s="30" t="n">
        <x:v>2400</x:v>
      </x:c>
      <x:c r="I125" s="32" t="n">
        <x:v>0.1</x:v>
      </x:c>
      <x:c r="J125" s="30" t="n">
        <x:v>4320</x:v>
      </x:c>
      <x:c r="K125" s="30" t="n">
        <x:v>3100</x:v>
      </x:c>
      <x:c r="L125" s="30" t="n">
        <x:v>1220</x:v>
      </x:c>
    </x:row>
    <x:row r="126">
      <x:c r="A126" t="str">
        <x:v>TX-0125</x:v>
      </x:c>
      <x:c r="B126" s="28" t="n">
        <x:v>46085</x:v>
      </x:c>
      <x:c r="C126" t="str">
        <x:v>Dhaka</x:v>
      </x:c>
      <x:c r="D126" t="str">
        <x:v>Partner</x:v>
      </x:c>
      <x:c r="E126" t="str">
        <x:v>T-Shirt</x:v>
      </x:c>
      <x:c r="F126" t="str">
        <x:v>Apparel</x:v>
      </x:c>
      <x:c r="G126" t="n">
        <x:v>6</x:v>
      </x:c>
      <x:c r="H126" s="30" t="n">
        <x:v>650</x:v>
      </x:c>
      <x:c r="I126" s="32" t="n">
        <x:v>0.1</x:v>
      </x:c>
      <x:c r="J126" s="30" t="n">
        <x:v>3510</x:v>
      </x:c>
      <x:c r="K126" s="30" t="n">
        <x:v>2160</x:v>
      </x:c>
      <x:c r="L126" s="30" t="n">
        <x:v>1350</x:v>
      </x:c>
    </x:row>
    <x:row r="127">
      <x:c r="A127" t="str">
        <x:v>TX-0126</x:v>
      </x:c>
      <x:c r="B127" s="28" t="n">
        <x:v>46085</x:v>
      </x:c>
      <x:c r="C127" t="str">
        <x:v>Chattogram</x:v>
      </x:c>
      <x:c r="D127" t="str">
        <x:v>Partner</x:v>
      </x:c>
      <x:c r="E127" t="str">
        <x:v>Formal Shirt</x:v>
      </x:c>
      <x:c r="F127" t="str">
        <x:v>Apparel</x:v>
      </x:c>
      <x:c r="G127" t="n">
        <x:v>6</x:v>
      </x:c>
      <x:c r="H127" s="30" t="n">
        <x:v>1450</x:v>
      </x:c>
      <x:c r="I127" s="32" t="n">
        <x:v>0</x:v>
      </x:c>
      <x:c r="J127" s="30" t="n">
        <x:v>8700</x:v>
      </x:c>
      <x:c r="K127" s="30" t="n">
        <x:v>5280</x:v>
      </x:c>
      <x:c r="L127" s="30" t="n">
        <x:v>3420</x:v>
      </x:c>
    </x:row>
    <x:row r="128">
      <x:c r="A128" t="str">
        <x:v>TX-0127</x:v>
      </x:c>
      <x:c r="B128" s="28" t="n">
        <x:v>46086</x:v>
      </x:c>
      <x:c r="C128" t="str">
        <x:v>Rajshahi</x:v>
      </x:c>
      <x:c r="D128" t="str">
        <x:v>Store</x:v>
      </x:c>
      <x:c r="E128" t="str">
        <x:v>Notebook Set</x:v>
      </x:c>
      <x:c r="F128" t="str">
        <x:v>Stationery</x:v>
      </x:c>
      <x:c r="G128" t="n">
        <x:v>7</x:v>
      </x:c>
      <x:c r="H128" s="30" t="n">
        <x:v>320</x:v>
      </x:c>
      <x:c r="I128" s="32" t="n">
        <x:v>0</x:v>
      </x:c>
      <x:c r="J128" s="30" t="n">
        <x:v>2240</x:v>
      </x:c>
      <x:c r="K128" s="30" t="n">
        <x:v>1190</x:v>
      </x:c>
      <x:c r="L128" s="30" t="n">
        <x:v>1050</x:v>
      </x:c>
    </x:row>
    <x:row r="129">
      <x:c r="A129" t="str">
        <x:v>TX-0128</x:v>
      </x:c>
      <x:c r="B129" s="28" t="n">
        <x:v>46086</x:v>
      </x:c>
      <x:c r="C129" t="str">
        <x:v>Khulna</x:v>
      </x:c>
      <x:c r="D129" t="str">
        <x:v>Store</x:v>
      </x:c>
      <x:c r="E129" t="str">
        <x:v>Sneakers</x:v>
      </x:c>
      <x:c r="F129" t="str">
        <x:v>Footwear</x:v>
      </x:c>
      <x:c r="G129" t="n">
        <x:v>4</x:v>
      </x:c>
      <x:c r="H129" s="30" t="n">
        <x:v>2400</x:v>
      </x:c>
      <x:c r="I129" s="32" t="n">
        <x:v>0.15</x:v>
      </x:c>
      <x:c r="J129" s="30" t="n">
        <x:v>8160</x:v>
      </x:c>
      <x:c r="K129" s="30" t="n">
        <x:v>6200</x:v>
      </x:c>
      <x:c r="L129" s="30" t="n">
        <x:v>1960</x:v>
      </x:c>
    </x:row>
    <x:row r="130">
      <x:c r="A130" t="str">
        <x:v>TX-0129</x:v>
      </x:c>
      <x:c r="B130" s="28" t="n">
        <x:v>46087</x:v>
      </x:c>
      <x:c r="C130" t="str">
        <x:v>Dhaka</x:v>
      </x:c>
      <x:c r="D130" t="str">
        <x:v>Store</x:v>
      </x:c>
      <x:c r="E130" t="str">
        <x:v>Sneakers</x:v>
      </x:c>
      <x:c r="F130" t="str">
        <x:v>Footwear</x:v>
      </x:c>
      <x:c r="G130" t="n">
        <x:v>4</x:v>
      </x:c>
      <x:c r="H130" s="30" t="n">
        <x:v>2400</x:v>
      </x:c>
      <x:c r="I130" s="32" t="n">
        <x:v>0.1</x:v>
      </x:c>
      <x:c r="J130" s="30" t="n">
        <x:v>8640</x:v>
      </x:c>
      <x:c r="K130" s="30" t="n">
        <x:v>6200</x:v>
      </x:c>
      <x:c r="L130" s="30" t="n">
        <x:v>2440</x:v>
      </x:c>
    </x:row>
    <x:row r="131">
      <x:c r="A131" t="str">
        <x:v>TX-0130</x:v>
      </x:c>
      <x:c r="B131" s="28" t="n">
        <x:v>46087</x:v>
      </x:c>
      <x:c r="C131" t="str">
        <x:v>Chattogram</x:v>
      </x:c>
      <x:c r="D131" t="str">
        <x:v>Online</x:v>
      </x:c>
      <x:c r="E131" t="str">
        <x:v>T-Shirt</x:v>
      </x:c>
      <x:c r="F131" t="str">
        <x:v>Apparel</x:v>
      </x:c>
      <x:c r="G131" t="n">
        <x:v>8</x:v>
      </x:c>
      <x:c r="H131" s="30" t="n">
        <x:v>650</x:v>
      </x:c>
      <x:c r="I131" s="32" t="n">
        <x:v>0.05</x:v>
      </x:c>
      <x:c r="J131" s="30" t="n">
        <x:v>4940</x:v>
      </x:c>
      <x:c r="K131" s="30" t="n">
        <x:v>2880</x:v>
      </x:c>
      <x:c r="L131" s="30" t="n">
        <x:v>2060</x:v>
      </x:c>
    </x:row>
    <x:row r="132">
      <x:c r="A132" t="str">
        <x:v>TX-0131</x:v>
      </x:c>
      <x:c r="B132" s="28" t="n">
        <x:v>46088</x:v>
      </x:c>
      <x:c r="C132" t="str">
        <x:v>Rajshahi</x:v>
      </x:c>
      <x:c r="D132" t="str">
        <x:v>Online</x:v>
      </x:c>
      <x:c r="E132" t="str">
        <x:v>Sneakers</x:v>
      </x:c>
      <x:c r="F132" t="str">
        <x:v>Footwear</x:v>
      </x:c>
      <x:c r="G132" t="n">
        <x:v>8</x:v>
      </x:c>
      <x:c r="H132" s="30" t="n">
        <x:v>2400</x:v>
      </x:c>
      <x:c r="I132" s="32" t="n">
        <x:v>0.05</x:v>
      </x:c>
      <x:c r="J132" s="30" t="n">
        <x:v>18240</x:v>
      </x:c>
      <x:c r="K132" s="30" t="n">
        <x:v>12400</x:v>
      </x:c>
      <x:c r="L132" s="30" t="n">
        <x:v>5840</x:v>
      </x:c>
    </x:row>
    <x:row r="133">
      <x:c r="A133" t="str">
        <x:v>TX-0132</x:v>
      </x:c>
      <x:c r="B133" s="28" t="n">
        <x:v>46088</x:v>
      </x:c>
      <x:c r="C133" t="str">
        <x:v>Khulna</x:v>
      </x:c>
      <x:c r="D133" t="str">
        <x:v>Online</x:v>
      </x:c>
      <x:c r="E133" t="str">
        <x:v>Notebook Set</x:v>
      </x:c>
      <x:c r="F133" t="str">
        <x:v>Stationery</x:v>
      </x:c>
      <x:c r="G133" t="n">
        <x:v>1</x:v>
      </x:c>
      <x:c r="H133" s="30" t="n">
        <x:v>320</x:v>
      </x:c>
      <x:c r="I133" s="32" t="n">
        <x:v>0.1</x:v>
      </x:c>
      <x:c r="J133" s="30" t="n">
        <x:v>288</x:v>
      </x:c>
      <x:c r="K133" s="30" t="n">
        <x:v>170</x:v>
      </x:c>
      <x:c r="L133" s="30" t="n">
        <x:v>118</x:v>
      </x:c>
    </x:row>
    <x:row r="134">
      <x:c r="A134" t="str">
        <x:v>TX-0133</x:v>
      </x:c>
      <x:c r="B134" s="28" t="n">
        <x:v>46089</x:v>
      </x:c>
      <x:c r="C134" t="str">
        <x:v>Dhaka</x:v>
      </x:c>
      <x:c r="D134" t="str">
        <x:v>Partner</x:v>
      </x:c>
      <x:c r="E134" t="str">
        <x:v>Polo Shirt</x:v>
      </x:c>
      <x:c r="F134" t="str">
        <x:v>Apparel</x:v>
      </x:c>
      <x:c r="G134" t="n">
        <x:v>6</x:v>
      </x:c>
      <x:c r="H134" s="30" t="n">
        <x:v>1200</x:v>
      </x:c>
      <x:c r="I134" s="32" t="n">
        <x:v>0</x:v>
      </x:c>
      <x:c r="J134" s="30" t="n">
        <x:v>7200</x:v>
      </x:c>
      <x:c r="K134" s="30" t="n">
        <x:v>4320</x:v>
      </x:c>
      <x:c r="L134" s="30" t="n">
        <x:v>2880</x:v>
      </x:c>
    </x:row>
    <x:row r="135">
      <x:c r="A135" t="str">
        <x:v>TX-0134</x:v>
      </x:c>
      <x:c r="B135" s="28" t="n">
        <x:v>46089</x:v>
      </x:c>
      <x:c r="C135" t="str">
        <x:v>Chattogram</x:v>
      </x:c>
      <x:c r="D135" t="str">
        <x:v>Partner</x:v>
      </x:c>
      <x:c r="E135" t="str">
        <x:v>Polo Shirt</x:v>
      </x:c>
      <x:c r="F135" t="str">
        <x:v>Apparel</x:v>
      </x:c>
      <x:c r="G135" t="n">
        <x:v>4</x:v>
      </x:c>
      <x:c r="H135" s="30" t="n">
        <x:v>1200</x:v>
      </x:c>
      <x:c r="I135" s="32" t="n">
        <x:v>0.1</x:v>
      </x:c>
      <x:c r="J135" s="30" t="n">
        <x:v>4320</x:v>
      </x:c>
      <x:c r="K135" s="30" t="n">
        <x:v>2880</x:v>
      </x:c>
      <x:c r="L135" s="30" t="n">
        <x:v>1440</x:v>
      </x:c>
    </x:row>
    <x:row r="136">
      <x:c r="A136" t="str">
        <x:v>TX-0135</x:v>
      </x:c>
      <x:c r="B136" s="28" t="n">
        <x:v>46090</x:v>
      </x:c>
      <x:c r="C136" t="str">
        <x:v>Rajshahi</x:v>
      </x:c>
      <x:c r="D136" t="str">
        <x:v>Partner</x:v>
      </x:c>
      <x:c r="E136" t="str">
        <x:v>T-Shirt</x:v>
      </x:c>
      <x:c r="F136" t="str">
        <x:v>Apparel</x:v>
      </x:c>
      <x:c r="G136" t="n">
        <x:v>6</x:v>
      </x:c>
      <x:c r="H136" s="30" t="n">
        <x:v>650</x:v>
      </x:c>
      <x:c r="I136" s="32" t="n">
        <x:v>0</x:v>
      </x:c>
      <x:c r="J136" s="30" t="n">
        <x:v>3900</x:v>
      </x:c>
      <x:c r="K136" s="30" t="n">
        <x:v>2160</x:v>
      </x:c>
      <x:c r="L136" s="30" t="n">
        <x:v>1740</x:v>
      </x:c>
    </x:row>
    <x:row r="137">
      <x:c r="A137" t="str">
        <x:v>TX-0136</x:v>
      </x:c>
      <x:c r="B137" s="28" t="n">
        <x:v>46090</x:v>
      </x:c>
      <x:c r="C137" t="str">
        <x:v>Khulna</x:v>
      </x:c>
      <x:c r="D137" t="str">
        <x:v>Store</x:v>
      </x:c>
      <x:c r="E137" t="str">
        <x:v>Backpack</x:v>
      </x:c>
      <x:c r="F137" t="str">
        <x:v>Accessories</x:v>
      </x:c>
      <x:c r="G137" t="n">
        <x:v>4</x:v>
      </x:c>
      <x:c r="H137" s="30" t="n">
        <x:v>1800</x:v>
      </x:c>
      <x:c r="I137" s="32" t="n">
        <x:v>0.05</x:v>
      </x:c>
      <x:c r="J137" s="30" t="n">
        <x:v>6840</x:v>
      </x:c>
      <x:c r="K137" s="30" t="n">
        <x:v>4480</x:v>
      </x:c>
      <x:c r="L137" s="30" t="n">
        <x:v>2360</x:v>
      </x:c>
    </x:row>
    <x:row r="138">
      <x:c r="A138" t="str">
        <x:v>TX-0137</x:v>
      </x:c>
      <x:c r="B138" s="28" t="n">
        <x:v>46091</x:v>
      </x:c>
      <x:c r="C138" t="str">
        <x:v>Dhaka</x:v>
      </x:c>
      <x:c r="D138" t="str">
        <x:v>Store</x:v>
      </x:c>
      <x:c r="E138" t="str">
        <x:v>Backpack</x:v>
      </x:c>
      <x:c r="F138" t="str">
        <x:v>Accessories</x:v>
      </x:c>
      <x:c r="G138" t="n">
        <x:v>1</x:v>
      </x:c>
      <x:c r="H138" s="30" t="n">
        <x:v>1800</x:v>
      </x:c>
      <x:c r="I138" s="32" t="n">
        <x:v>0.05</x:v>
      </x:c>
      <x:c r="J138" s="30" t="n">
        <x:v>1710</x:v>
      </x:c>
      <x:c r="K138" s="30" t="n">
        <x:v>1120</x:v>
      </x:c>
      <x:c r="L138" s="30" t="n">
        <x:v>590</x:v>
      </x:c>
    </x:row>
    <x:row r="139">
      <x:c r="A139" t="str">
        <x:v>TX-0138</x:v>
      </x:c>
      <x:c r="B139" s="28" t="n">
        <x:v>46091</x:v>
      </x:c>
      <x:c r="C139" t="str">
        <x:v>Chattogram</x:v>
      </x:c>
      <x:c r="D139" t="str">
        <x:v>Store</x:v>
      </x:c>
      <x:c r="E139" t="str">
        <x:v>Polo Shirt</x:v>
      </x:c>
      <x:c r="F139" t="str">
        <x:v>Apparel</x:v>
      </x:c>
      <x:c r="G139" t="n">
        <x:v>1</x:v>
      </x:c>
      <x:c r="H139" s="30" t="n">
        <x:v>1200</x:v>
      </x:c>
      <x:c r="I139" s="32" t="n">
        <x:v>0.1</x:v>
      </x:c>
      <x:c r="J139" s="30" t="n">
        <x:v>1080</x:v>
      </x:c>
      <x:c r="K139" s="30" t="n">
        <x:v>720</x:v>
      </x:c>
      <x:c r="L139" s="30" t="n">
        <x:v>360</x:v>
      </x:c>
    </x:row>
    <x:row r="140">
      <x:c r="A140" t="str">
        <x:v>TX-0139</x:v>
      </x:c>
      <x:c r="B140" s="28" t="n">
        <x:v>46092</x:v>
      </x:c>
      <x:c r="C140" t="str">
        <x:v>Rajshahi</x:v>
      </x:c>
      <x:c r="D140" t="str">
        <x:v>Online</x:v>
      </x:c>
      <x:c r="E140" t="str">
        <x:v>Notebook Set</x:v>
      </x:c>
      <x:c r="F140" t="str">
        <x:v>Stationery</x:v>
      </x:c>
      <x:c r="G140" t="n">
        <x:v>7</x:v>
      </x:c>
      <x:c r="H140" s="30" t="n">
        <x:v>320</x:v>
      </x:c>
      <x:c r="I140" s="32" t="n">
        <x:v>0.1</x:v>
      </x:c>
      <x:c r="J140" s="30" t="n">
        <x:v>2016</x:v>
      </x:c>
      <x:c r="K140" s="30" t="n">
        <x:v>1190</x:v>
      </x:c>
      <x:c r="L140" s="30" t="n">
        <x:v>826</x:v>
      </x:c>
    </x:row>
    <x:row r="141">
      <x:c r="A141" t="str">
        <x:v>TX-0140</x:v>
      </x:c>
      <x:c r="B141" s="28" t="n">
        <x:v>46092</x:v>
      </x:c>
      <x:c r="C141" t="str">
        <x:v>Khulna</x:v>
      </x:c>
      <x:c r="D141" t="str">
        <x:v>Online</x:v>
      </x:c>
      <x:c r="E141" t="str">
        <x:v>Polo Shirt</x:v>
      </x:c>
      <x:c r="F141" t="str">
        <x:v>Apparel</x:v>
      </x:c>
      <x:c r="G141" t="n">
        <x:v>8</x:v>
      </x:c>
      <x:c r="H141" s="30" t="n">
        <x:v>1200</x:v>
      </x:c>
      <x:c r="I141" s="32" t="n">
        <x:v>0.05</x:v>
      </x:c>
      <x:c r="J141" s="30" t="n">
        <x:v>9120</x:v>
      </x:c>
      <x:c r="K141" s="30" t="n">
        <x:v>5760</x:v>
      </x:c>
      <x:c r="L141" s="30" t="n">
        <x:v>3360</x:v>
      </x:c>
    </x:row>
    <x:row r="142">
      <x:c r="A142" t="str">
        <x:v>TX-0141</x:v>
      </x:c>
      <x:c r="B142" s="28" t="n">
        <x:v>46093</x:v>
      </x:c>
      <x:c r="C142" t="str">
        <x:v>Dhaka</x:v>
      </x:c>
      <x:c r="D142" t="str">
        <x:v>Online</x:v>
      </x:c>
      <x:c r="E142" t="str">
        <x:v>Backpack</x:v>
      </x:c>
      <x:c r="F142" t="str">
        <x:v>Accessories</x:v>
      </x:c>
      <x:c r="G142" t="n">
        <x:v>6</x:v>
      </x:c>
      <x:c r="H142" s="30" t="n">
        <x:v>1800</x:v>
      </x:c>
      <x:c r="I142" s="32" t="n">
        <x:v>0.15</x:v>
      </x:c>
      <x:c r="J142" s="30" t="n">
        <x:v>9180</x:v>
      </x:c>
      <x:c r="K142" s="30" t="n">
        <x:v>6720</x:v>
      </x:c>
      <x:c r="L142" s="30" t="n">
        <x:v>2460</x:v>
      </x:c>
    </x:row>
    <x:row r="143">
      <x:c r="A143" t="str">
        <x:v>TX-0142</x:v>
      </x:c>
      <x:c r="B143" s="28" t="n">
        <x:v>46093</x:v>
      </x:c>
      <x:c r="C143" t="str">
        <x:v>Chattogram</x:v>
      </x:c>
      <x:c r="D143" t="str">
        <x:v>Partner</x:v>
      </x:c>
      <x:c r="E143" t="str">
        <x:v>Backpack</x:v>
      </x:c>
      <x:c r="F143" t="str">
        <x:v>Accessories</x:v>
      </x:c>
      <x:c r="G143" t="n">
        <x:v>7</x:v>
      </x:c>
      <x:c r="H143" s="30" t="n">
        <x:v>1800</x:v>
      </x:c>
      <x:c r="I143" s="32" t="n">
        <x:v>0.1</x:v>
      </x:c>
      <x:c r="J143" s="30" t="n">
        <x:v>11340</x:v>
      </x:c>
      <x:c r="K143" s="30" t="n">
        <x:v>7840</x:v>
      </x:c>
      <x:c r="L143" s="30" t="n">
        <x:v>3500</x:v>
      </x:c>
    </x:row>
    <x:row r="144">
      <x:c r="A144" t="str">
        <x:v>TX-0143</x:v>
      </x:c>
      <x:c r="B144" s="28" t="n">
        <x:v>46094</x:v>
      </x:c>
      <x:c r="C144" t="str">
        <x:v>Rajshahi</x:v>
      </x:c>
      <x:c r="D144" t="str">
        <x:v>Partner</x:v>
      </x:c>
      <x:c r="E144" t="str">
        <x:v>Notebook Set</x:v>
      </x:c>
      <x:c r="F144" t="str">
        <x:v>Stationery</x:v>
      </x:c>
      <x:c r="G144" t="n">
        <x:v>4</x:v>
      </x:c>
      <x:c r="H144" s="30" t="n">
        <x:v>320</x:v>
      </x:c>
      <x:c r="I144" s="32" t="n">
        <x:v>0.15</x:v>
      </x:c>
      <x:c r="J144" s="30" t="n">
        <x:v>1088</x:v>
      </x:c>
      <x:c r="K144" s="30" t="n">
        <x:v>680</x:v>
      </x:c>
      <x:c r="L144" s="30" t="n">
        <x:v>408</x:v>
      </x:c>
    </x:row>
    <x:row r="145">
      <x:c r="A145" t="str">
        <x:v>TX-0144</x:v>
      </x:c>
      <x:c r="B145" s="28" t="n">
        <x:v>46094</x:v>
      </x:c>
      <x:c r="C145" t="str">
        <x:v>Khulna</x:v>
      </x:c>
      <x:c r="D145" t="str">
        <x:v>Partner</x:v>
      </x:c>
      <x:c r="E145" t="str">
        <x:v>Formal Shirt</x:v>
      </x:c>
      <x:c r="F145" t="str">
        <x:v>Apparel</x:v>
      </x:c>
      <x:c r="G145" t="n">
        <x:v>5</x:v>
      </x:c>
      <x:c r="H145" s="30" t="n">
        <x:v>1450</x:v>
      </x:c>
      <x:c r="I145" s="32" t="n">
        <x:v>0</x:v>
      </x:c>
      <x:c r="J145" s="30" t="n">
        <x:v>7250</x:v>
      </x:c>
      <x:c r="K145" s="30" t="n">
        <x:v>4400</x:v>
      </x:c>
      <x:c r="L145" s="30" t="n">
        <x:v>2850</x:v>
      </x:c>
    </x:row>
    <x:row r="146">
      <x:c r="A146" t="str">
        <x:v>TX-0145</x:v>
      </x:c>
      <x:c r="B146" s="28" t="n">
        <x:v>46095</x:v>
      </x:c>
      <x:c r="C146" t="str">
        <x:v>Dhaka</x:v>
      </x:c>
      <x:c r="D146" t="str">
        <x:v>Store</x:v>
      </x:c>
      <x:c r="E146" t="str">
        <x:v>T-Shirt</x:v>
      </x:c>
      <x:c r="F146" t="str">
        <x:v>Apparel</x:v>
      </x:c>
      <x:c r="G146" t="n">
        <x:v>1</x:v>
      </x:c>
      <x:c r="H146" s="30" t="n">
        <x:v>650</x:v>
      </x:c>
      <x:c r="I146" s="32" t="n">
        <x:v>0.15</x:v>
      </x:c>
      <x:c r="J146" s="30" t="n">
        <x:v>552.5</x:v>
      </x:c>
      <x:c r="K146" s="30" t="n">
        <x:v>360</x:v>
      </x:c>
      <x:c r="L146" s="30" t="n">
        <x:v>192.5</x:v>
      </x:c>
    </x:row>
    <x:row r="147">
      <x:c r="A147" t="str">
        <x:v>TX-0146</x:v>
      </x:c>
      <x:c r="B147" s="28" t="n">
        <x:v>46095</x:v>
      </x:c>
      <x:c r="C147" t="str">
        <x:v>Chattogram</x:v>
      </x:c>
      <x:c r="D147" t="str">
        <x:v>Store</x:v>
      </x:c>
      <x:c r="E147" t="str">
        <x:v>Notebook Set</x:v>
      </x:c>
      <x:c r="F147" t="str">
        <x:v>Stationery</x:v>
      </x:c>
      <x:c r="G147" t="n">
        <x:v>1</x:v>
      </x:c>
      <x:c r="H147" s="30" t="n">
        <x:v>320</x:v>
      </x:c>
      <x:c r="I147" s="32" t="n">
        <x:v>0.05</x:v>
      </x:c>
      <x:c r="J147" s="30" t="n">
        <x:v>304</x:v>
      </x:c>
      <x:c r="K147" s="30" t="n">
        <x:v>170</x:v>
      </x:c>
      <x:c r="L147" s="30" t="n">
        <x:v>134</x:v>
      </x:c>
    </x:row>
    <x:row r="148">
      <x:c r="A148" t="str">
        <x:v>TX-0147</x:v>
      </x:c>
      <x:c r="B148" s="28" t="n">
        <x:v>46096</x:v>
      </x:c>
      <x:c r="C148" t="str">
        <x:v>Rajshahi</x:v>
      </x:c>
      <x:c r="D148" t="str">
        <x:v>Store</x:v>
      </x:c>
      <x:c r="E148" t="str">
        <x:v>Polo Shirt</x:v>
      </x:c>
      <x:c r="F148" t="str">
        <x:v>Apparel</x:v>
      </x:c>
      <x:c r="G148" t="n">
        <x:v>1</x:v>
      </x:c>
      <x:c r="H148" s="30" t="n">
        <x:v>1200</x:v>
      </x:c>
      <x:c r="I148" s="32" t="n">
        <x:v>0</x:v>
      </x:c>
      <x:c r="J148" s="30" t="n">
        <x:v>1200</x:v>
      </x:c>
      <x:c r="K148" s="30" t="n">
        <x:v>720</x:v>
      </x:c>
      <x:c r="L148" s="30" t="n">
        <x:v>480</x:v>
      </x:c>
    </x:row>
    <x:row r="149">
      <x:c r="A149" t="str">
        <x:v>TX-0148</x:v>
      </x:c>
      <x:c r="B149" s="28" t="n">
        <x:v>46096</x:v>
      </x:c>
      <x:c r="C149" t="str">
        <x:v>Khulna</x:v>
      </x:c>
      <x:c r="D149" t="str">
        <x:v>Online</x:v>
      </x:c>
      <x:c r="E149" t="str">
        <x:v>Notebook Set</x:v>
      </x:c>
      <x:c r="F149" t="str">
        <x:v>Stationery</x:v>
      </x:c>
      <x:c r="G149" t="n">
        <x:v>8</x:v>
      </x:c>
      <x:c r="H149" s="30" t="n">
        <x:v>320</x:v>
      </x:c>
      <x:c r="I149" s="32" t="n">
        <x:v>0.05</x:v>
      </x:c>
      <x:c r="J149" s="30" t="n">
        <x:v>2432</x:v>
      </x:c>
      <x:c r="K149" s="30" t="n">
        <x:v>1360</x:v>
      </x:c>
      <x:c r="L149" s="30" t="n">
        <x:v>1072</x:v>
      </x:c>
    </x:row>
    <x:row r="150">
      <x:c r="A150" t="str">
        <x:v>TX-0149</x:v>
      </x:c>
      <x:c r="B150" s="28" t="n">
        <x:v>46097</x:v>
      </x:c>
      <x:c r="C150" t="str">
        <x:v>Dhaka</x:v>
      </x:c>
      <x:c r="D150" t="str">
        <x:v>Online</x:v>
      </x:c>
      <x:c r="E150" t="str">
        <x:v>Notebook Set</x:v>
      </x:c>
      <x:c r="F150" t="str">
        <x:v>Stationery</x:v>
      </x:c>
      <x:c r="G150" t="n">
        <x:v>8</x:v>
      </x:c>
      <x:c r="H150" s="30" t="n">
        <x:v>320</x:v>
      </x:c>
      <x:c r="I150" s="32" t="n">
        <x:v>0.05</x:v>
      </x:c>
      <x:c r="J150" s="30" t="n">
        <x:v>2432</x:v>
      </x:c>
      <x:c r="K150" s="30" t="n">
        <x:v>1360</x:v>
      </x:c>
      <x:c r="L150" s="30" t="n">
        <x:v>1072</x:v>
      </x:c>
    </x:row>
    <x:row r="151">
      <x:c r="A151" t="str">
        <x:v>TX-0150</x:v>
      </x:c>
      <x:c r="B151" s="28" t="n">
        <x:v>46097</x:v>
      </x:c>
      <x:c r="C151" t="str">
        <x:v>Chattogram</x:v>
      </x:c>
      <x:c r="D151" t="str">
        <x:v>Online</x:v>
      </x:c>
      <x:c r="E151" t="str">
        <x:v>Backpack</x:v>
      </x:c>
      <x:c r="F151" t="str">
        <x:v>Accessories</x:v>
      </x:c>
      <x:c r="G151" t="n">
        <x:v>6</x:v>
      </x:c>
      <x:c r="H151" s="30" t="n">
        <x:v>1800</x:v>
      </x:c>
      <x:c r="I151" s="32" t="n">
        <x:v>0</x:v>
      </x:c>
      <x:c r="J151" s="30" t="n">
        <x:v>10800</x:v>
      </x:c>
      <x:c r="K151" s="30" t="n">
        <x:v>6720</x:v>
      </x:c>
      <x:c r="L151" s="30" t="n">
        <x:v>4080</x:v>
      </x:c>
    </x:row>
    <x:row r="152">
      <x:c r="A152" t="str">
        <x:v>TX-0151</x:v>
      </x:c>
      <x:c r="B152" s="28" t="n">
        <x:v>46098</x:v>
      </x:c>
      <x:c r="C152" t="str">
        <x:v>Rajshahi</x:v>
      </x:c>
      <x:c r="D152" t="str">
        <x:v>Partner</x:v>
      </x:c>
      <x:c r="E152" t="str">
        <x:v>Backpack</x:v>
      </x:c>
      <x:c r="F152" t="str">
        <x:v>Accessories</x:v>
      </x:c>
      <x:c r="G152" t="n">
        <x:v>7</x:v>
      </x:c>
      <x:c r="H152" s="30" t="n">
        <x:v>1800</x:v>
      </x:c>
      <x:c r="I152" s="32" t="n">
        <x:v>0.15</x:v>
      </x:c>
      <x:c r="J152" s="30" t="n">
        <x:v>10710</x:v>
      </x:c>
      <x:c r="K152" s="30" t="n">
        <x:v>7840</x:v>
      </x:c>
      <x:c r="L152" s="30" t="n">
        <x:v>2870</x:v>
      </x:c>
    </x:row>
    <x:row r="153">
      <x:c r="A153" t="str">
        <x:v>TX-0152</x:v>
      </x:c>
      <x:c r="B153" s="28" t="n">
        <x:v>46098</x:v>
      </x:c>
      <x:c r="C153" t="str">
        <x:v>Khulna</x:v>
      </x:c>
      <x:c r="D153" t="str">
        <x:v>Partner</x:v>
      </x:c>
      <x:c r="E153" t="str">
        <x:v>Sneakers</x:v>
      </x:c>
      <x:c r="F153" t="str">
        <x:v>Footwear</x:v>
      </x:c>
      <x:c r="G153" t="n">
        <x:v>2</x:v>
      </x:c>
      <x:c r="H153" s="30" t="n">
        <x:v>2400</x:v>
      </x:c>
      <x:c r="I153" s="32" t="n">
        <x:v>0.15</x:v>
      </x:c>
      <x:c r="J153" s="30" t="n">
        <x:v>4080</x:v>
      </x:c>
      <x:c r="K153" s="30" t="n">
        <x:v>3100</x:v>
      </x:c>
      <x:c r="L153" s="30" t="n">
        <x:v>980</x:v>
      </x:c>
    </x:row>
    <x:row r="154">
      <x:c r="A154" t="str">
        <x:v>TX-0153</x:v>
      </x:c>
      <x:c r="B154" s="28" t="n">
        <x:v>46099</x:v>
      </x:c>
      <x:c r="C154" t="str">
        <x:v>Dhaka</x:v>
      </x:c>
      <x:c r="D154" t="str">
        <x:v>Partner</x:v>
      </x:c>
      <x:c r="E154" t="str">
        <x:v>Sneakers</x:v>
      </x:c>
      <x:c r="F154" t="str">
        <x:v>Footwear</x:v>
      </x:c>
      <x:c r="G154" t="n">
        <x:v>1</x:v>
      </x:c>
      <x:c r="H154" s="30" t="n">
        <x:v>2400</x:v>
      </x:c>
      <x:c r="I154" s="32" t="n">
        <x:v>0.15</x:v>
      </x:c>
      <x:c r="J154" s="30" t="n">
        <x:v>2040</x:v>
      </x:c>
      <x:c r="K154" s="30" t="n">
        <x:v>1550</x:v>
      </x:c>
      <x:c r="L154" s="30" t="n">
        <x:v>490</x:v>
      </x:c>
    </x:row>
    <x:row r="155">
      <x:c r="A155" t="str">
        <x:v>TX-0154</x:v>
      </x:c>
      <x:c r="B155" s="28" t="n">
        <x:v>46099</x:v>
      </x:c>
      <x:c r="C155" t="str">
        <x:v>Chattogram</x:v>
      </x:c>
      <x:c r="D155" t="str">
        <x:v>Store</x:v>
      </x:c>
      <x:c r="E155" t="str">
        <x:v>Sneakers</x:v>
      </x:c>
      <x:c r="F155" t="str">
        <x:v>Footwear</x:v>
      </x:c>
      <x:c r="G155" t="n">
        <x:v>8</x:v>
      </x:c>
      <x:c r="H155" s="30" t="n">
        <x:v>2400</x:v>
      </x:c>
      <x:c r="I155" s="32" t="n">
        <x:v>0.05</x:v>
      </x:c>
      <x:c r="J155" s="30" t="n">
        <x:v>18240</x:v>
      </x:c>
      <x:c r="K155" s="30" t="n">
        <x:v>12400</x:v>
      </x:c>
      <x:c r="L155" s="30" t="n">
        <x:v>5840</x:v>
      </x:c>
    </x:row>
    <x:row r="156">
      <x:c r="A156" t="str">
        <x:v>TX-0155</x:v>
      </x:c>
      <x:c r="B156" s="28" t="n">
        <x:v>46100</x:v>
      </x:c>
      <x:c r="C156" t="str">
        <x:v>Rajshahi</x:v>
      </x:c>
      <x:c r="D156" t="str">
        <x:v>Store</x:v>
      </x:c>
      <x:c r="E156" t="str">
        <x:v>Backpack</x:v>
      </x:c>
      <x:c r="F156" t="str">
        <x:v>Accessories</x:v>
      </x:c>
      <x:c r="G156" t="n">
        <x:v>8</x:v>
      </x:c>
      <x:c r="H156" s="30" t="n">
        <x:v>1800</x:v>
      </x:c>
      <x:c r="I156" s="32" t="n">
        <x:v>0</x:v>
      </x:c>
      <x:c r="J156" s="30" t="n">
        <x:v>14400</x:v>
      </x:c>
      <x:c r="K156" s="30" t="n">
        <x:v>8960</x:v>
      </x:c>
      <x:c r="L156" s="30" t="n">
        <x:v>5440</x:v>
      </x:c>
    </x:row>
    <x:row r="157">
      <x:c r="A157" t="str">
        <x:v>TX-0156</x:v>
      </x:c>
      <x:c r="B157" s="28" t="n">
        <x:v>46100</x:v>
      </x:c>
      <x:c r="C157" t="str">
        <x:v>Khulna</x:v>
      </x:c>
      <x:c r="D157" t="str">
        <x:v>Store</x:v>
      </x:c>
      <x:c r="E157" t="str">
        <x:v>Notebook Set</x:v>
      </x:c>
      <x:c r="F157" t="str">
        <x:v>Stationery</x:v>
      </x:c>
      <x:c r="G157" t="n">
        <x:v>2</x:v>
      </x:c>
      <x:c r="H157" s="30" t="n">
        <x:v>320</x:v>
      </x:c>
      <x:c r="I157" s="32" t="n">
        <x:v>0.1</x:v>
      </x:c>
      <x:c r="J157" s="30" t="n">
        <x:v>576</x:v>
      </x:c>
      <x:c r="K157" s="30" t="n">
        <x:v>340</x:v>
      </x:c>
      <x:c r="L157" s="30" t="n">
        <x:v>236</x:v>
      </x:c>
    </x:row>
    <x:row r="158">
      <x:c r="A158" t="str">
        <x:v>TX-0157</x:v>
      </x:c>
      <x:c r="B158" s="28" t="n">
        <x:v>46101</x:v>
      </x:c>
      <x:c r="C158" t="str">
        <x:v>Dhaka</x:v>
      </x:c>
      <x:c r="D158" t="str">
        <x:v>Online</x:v>
      </x:c>
      <x:c r="E158" t="str">
        <x:v>Formal Shirt</x:v>
      </x:c>
      <x:c r="F158" t="str">
        <x:v>Apparel</x:v>
      </x:c>
      <x:c r="G158" t="n">
        <x:v>8</x:v>
      </x:c>
      <x:c r="H158" s="30" t="n">
        <x:v>1450</x:v>
      </x:c>
      <x:c r="I158" s="32" t="n">
        <x:v>0</x:v>
      </x:c>
      <x:c r="J158" s="30" t="n">
        <x:v>11600</x:v>
      </x:c>
      <x:c r="K158" s="30" t="n">
        <x:v>7040</x:v>
      </x:c>
      <x:c r="L158" s="30" t="n">
        <x:v>4560</x:v>
      </x:c>
    </x:row>
    <x:row r="159">
      <x:c r="A159" t="str">
        <x:v>TX-0158</x:v>
      </x:c>
      <x:c r="B159" s="28" t="n">
        <x:v>46101</x:v>
      </x:c>
      <x:c r="C159" t="str">
        <x:v>Chattogram</x:v>
      </x:c>
      <x:c r="D159" t="str">
        <x:v>Online</x:v>
      </x:c>
      <x:c r="E159" t="str">
        <x:v>Polo Shirt</x:v>
      </x:c>
      <x:c r="F159" t="str">
        <x:v>Apparel</x:v>
      </x:c>
      <x:c r="G159" t="n">
        <x:v>4</x:v>
      </x:c>
      <x:c r="H159" s="30" t="n">
        <x:v>1200</x:v>
      </x:c>
      <x:c r="I159" s="32" t="n">
        <x:v>0.15</x:v>
      </x:c>
      <x:c r="J159" s="30" t="n">
        <x:v>4080</x:v>
      </x:c>
      <x:c r="K159" s="30" t="n">
        <x:v>2880</x:v>
      </x:c>
      <x:c r="L159" s="30" t="n">
        <x:v>1200</x:v>
      </x:c>
    </x:row>
    <x:row r="160">
      <x:c r="A160" t="str">
        <x:v>TX-0159</x:v>
      </x:c>
      <x:c r="B160" s="28" t="n">
        <x:v>46102</x:v>
      </x:c>
      <x:c r="C160" t="str">
        <x:v>Rajshahi</x:v>
      </x:c>
      <x:c r="D160" t="str">
        <x:v>Online</x:v>
      </x:c>
      <x:c r="E160" t="str">
        <x:v>Notebook Set</x:v>
      </x:c>
      <x:c r="F160" t="str">
        <x:v>Stationery</x:v>
      </x:c>
      <x:c r="G160" t="n">
        <x:v>4</x:v>
      </x:c>
      <x:c r="H160" s="30" t="n">
        <x:v>320</x:v>
      </x:c>
      <x:c r="I160" s="32" t="n">
        <x:v>0.15</x:v>
      </x:c>
      <x:c r="J160" s="30" t="n">
        <x:v>1088</x:v>
      </x:c>
      <x:c r="K160" s="30" t="n">
        <x:v>680</x:v>
      </x:c>
      <x:c r="L160" s="30" t="n">
        <x:v>408</x:v>
      </x:c>
    </x:row>
    <x:row r="161">
      <x:c r="A161" t="str">
        <x:v>TX-0160</x:v>
      </x:c>
      <x:c r="B161" s="28" t="n">
        <x:v>46102</x:v>
      </x:c>
      <x:c r="C161" t="str">
        <x:v>Khulna</x:v>
      </x:c>
      <x:c r="D161" t="str">
        <x:v>Partner</x:v>
      </x:c>
      <x:c r="E161" t="str">
        <x:v>Sneakers</x:v>
      </x:c>
      <x:c r="F161" t="str">
        <x:v>Footwear</x:v>
      </x:c>
      <x:c r="G161" t="n">
        <x:v>5</x:v>
      </x:c>
      <x:c r="H161" s="30" t="n">
        <x:v>2400</x:v>
      </x:c>
      <x:c r="I161" s="32" t="n">
        <x:v>0</x:v>
      </x:c>
      <x:c r="J161" s="30" t="n">
        <x:v>12000</x:v>
      </x:c>
      <x:c r="K161" s="30" t="n">
        <x:v>7750</x:v>
      </x:c>
      <x:c r="L161" s="30" t="n">
        <x:v>4250</x:v>
      </x:c>
    </x:row>
    <x:row r="162">
      <x:c r="A162" t="str">
        <x:v>TX-0161</x:v>
      </x:c>
      <x:c r="B162" s="28" t="n">
        <x:v>46103</x:v>
      </x:c>
      <x:c r="C162" t="str">
        <x:v>Dhaka</x:v>
      </x:c>
      <x:c r="D162" t="str">
        <x:v>Partner</x:v>
      </x:c>
      <x:c r="E162" t="str">
        <x:v>Notebook Set</x:v>
      </x:c>
      <x:c r="F162" t="str">
        <x:v>Stationery</x:v>
      </x:c>
      <x:c r="G162" t="n">
        <x:v>2</x:v>
      </x:c>
      <x:c r="H162" s="30" t="n">
        <x:v>320</x:v>
      </x:c>
      <x:c r="I162" s="32" t="n">
        <x:v>0</x:v>
      </x:c>
      <x:c r="J162" s="30" t="n">
        <x:v>640</x:v>
      </x:c>
      <x:c r="K162" s="30" t="n">
        <x:v>340</x:v>
      </x:c>
      <x:c r="L162" s="30" t="n">
        <x:v>300</x:v>
      </x:c>
    </x:row>
    <x:row r="163">
      <x:c r="A163" t="str">
        <x:v>TX-0162</x:v>
      </x:c>
      <x:c r="B163" s="28" t="n">
        <x:v>46103</x:v>
      </x:c>
      <x:c r="C163" t="str">
        <x:v>Chattogram</x:v>
      </x:c>
      <x:c r="D163" t="str">
        <x:v>Partner</x:v>
      </x:c>
      <x:c r="E163" t="str">
        <x:v>Formal Shirt</x:v>
      </x:c>
      <x:c r="F163" t="str">
        <x:v>Apparel</x:v>
      </x:c>
      <x:c r="G163" t="n">
        <x:v>3</x:v>
      </x:c>
      <x:c r="H163" s="30" t="n">
        <x:v>1450</x:v>
      </x:c>
      <x:c r="I163" s="32" t="n">
        <x:v>0.15</x:v>
      </x:c>
      <x:c r="J163" s="30" t="n">
        <x:v>3697.5</x:v>
      </x:c>
      <x:c r="K163" s="30" t="n">
        <x:v>2640</x:v>
      </x:c>
      <x:c r="L163" s="30" t="n">
        <x:v>1057.5</x:v>
      </x:c>
    </x:row>
    <x:row r="164">
      <x:c r="A164" t="str">
        <x:v>TX-0163</x:v>
      </x:c>
      <x:c r="B164" s="28" t="n">
        <x:v>46104</x:v>
      </x:c>
      <x:c r="C164" t="str">
        <x:v>Rajshahi</x:v>
      </x:c>
      <x:c r="D164" t="str">
        <x:v>Store</x:v>
      </x:c>
      <x:c r="E164" t="str">
        <x:v>Polo Shirt</x:v>
      </x:c>
      <x:c r="F164" t="str">
        <x:v>Apparel</x:v>
      </x:c>
      <x:c r="G164" t="n">
        <x:v>2</x:v>
      </x:c>
      <x:c r="H164" s="30" t="n">
        <x:v>1200</x:v>
      </x:c>
      <x:c r="I164" s="32" t="n">
        <x:v>0</x:v>
      </x:c>
      <x:c r="J164" s="30" t="n">
        <x:v>2400</x:v>
      </x:c>
      <x:c r="K164" s="30" t="n">
        <x:v>1440</x:v>
      </x:c>
      <x:c r="L164" s="30" t="n">
        <x:v>960</x:v>
      </x:c>
    </x:row>
    <x:row r="165">
      <x:c r="A165" t="str">
        <x:v>TX-0164</x:v>
      </x:c>
      <x:c r="B165" s="28" t="n">
        <x:v>46104</x:v>
      </x:c>
      <x:c r="C165" t="str">
        <x:v>Khulna</x:v>
      </x:c>
      <x:c r="D165" t="str">
        <x:v>Store</x:v>
      </x:c>
      <x:c r="E165" t="str">
        <x:v>Notebook Set</x:v>
      </x:c>
      <x:c r="F165" t="str">
        <x:v>Stationery</x:v>
      </x:c>
      <x:c r="G165" t="n">
        <x:v>7</x:v>
      </x:c>
      <x:c r="H165" s="30" t="n">
        <x:v>320</x:v>
      </x:c>
      <x:c r="I165" s="32" t="n">
        <x:v>0</x:v>
      </x:c>
      <x:c r="J165" s="30" t="n">
        <x:v>2240</x:v>
      </x:c>
      <x:c r="K165" s="30" t="n">
        <x:v>1190</x:v>
      </x:c>
      <x:c r="L165" s="30" t="n">
        <x:v>1050</x:v>
      </x:c>
    </x:row>
    <x:row r="166">
      <x:c r="A166" t="str">
        <x:v>TX-0165</x:v>
      </x:c>
      <x:c r="B166" s="28" t="n">
        <x:v>46105</x:v>
      </x:c>
      <x:c r="C166" t="str">
        <x:v>Dhaka</x:v>
      </x:c>
      <x:c r="D166" t="str">
        <x:v>Store</x:v>
      </x:c>
      <x:c r="E166" t="str">
        <x:v>T-Shirt</x:v>
      </x:c>
      <x:c r="F166" t="str">
        <x:v>Apparel</x:v>
      </x:c>
      <x:c r="G166" t="n">
        <x:v>1</x:v>
      </x:c>
      <x:c r="H166" s="30" t="n">
        <x:v>650</x:v>
      </x:c>
      <x:c r="I166" s="32" t="n">
        <x:v>0</x:v>
      </x:c>
      <x:c r="J166" s="30" t="n">
        <x:v>650</x:v>
      </x:c>
      <x:c r="K166" s="30" t="n">
        <x:v>360</x:v>
      </x:c>
      <x:c r="L166" s="30" t="n">
        <x:v>290</x:v>
      </x:c>
    </x:row>
    <x:row r="167">
      <x:c r="A167" t="str">
        <x:v>TX-0166</x:v>
      </x:c>
      <x:c r="B167" s="28" t="n">
        <x:v>46105</x:v>
      </x:c>
      <x:c r="C167" t="str">
        <x:v>Chattogram</x:v>
      </x:c>
      <x:c r="D167" t="str">
        <x:v>Online</x:v>
      </x:c>
      <x:c r="E167" t="str">
        <x:v>Formal Shirt</x:v>
      </x:c>
      <x:c r="F167" t="str">
        <x:v>Apparel</x:v>
      </x:c>
      <x:c r="G167" t="n">
        <x:v>8</x:v>
      </x:c>
      <x:c r="H167" s="30" t="n">
        <x:v>1450</x:v>
      </x:c>
      <x:c r="I167" s="32" t="n">
        <x:v>0</x:v>
      </x:c>
      <x:c r="J167" s="30" t="n">
        <x:v>11600</x:v>
      </x:c>
      <x:c r="K167" s="30" t="n">
        <x:v>7040</x:v>
      </x:c>
      <x:c r="L167" s="30" t="n">
        <x:v>4560</x:v>
      </x:c>
    </x:row>
    <x:row r="168">
      <x:c r="A168" t="str">
        <x:v>TX-0167</x:v>
      </x:c>
      <x:c r="B168" s="28" t="n">
        <x:v>46106</x:v>
      </x:c>
      <x:c r="C168" t="str">
        <x:v>Rajshahi</x:v>
      </x:c>
      <x:c r="D168" t="str">
        <x:v>Online</x:v>
      </x:c>
      <x:c r="E168" t="str">
        <x:v>Formal Shirt</x:v>
      </x:c>
      <x:c r="F168" t="str">
        <x:v>Apparel</x:v>
      </x:c>
      <x:c r="G168" t="n">
        <x:v>6</x:v>
      </x:c>
      <x:c r="H168" s="30" t="n">
        <x:v>1450</x:v>
      </x:c>
      <x:c r="I168" s="32" t="n">
        <x:v>0.1</x:v>
      </x:c>
      <x:c r="J168" s="30" t="n">
        <x:v>7830</x:v>
      </x:c>
      <x:c r="K168" s="30" t="n">
        <x:v>5280</x:v>
      </x:c>
      <x:c r="L168" s="30" t="n">
        <x:v>2550</x:v>
      </x:c>
    </x:row>
    <x:row r="169">
      <x:c r="A169" t="str">
        <x:v>TX-0168</x:v>
      </x:c>
      <x:c r="B169" s="28" t="n">
        <x:v>46106</x:v>
      </x:c>
      <x:c r="C169" t="str">
        <x:v>Khulna</x:v>
      </x:c>
      <x:c r="D169" t="str">
        <x:v>Online</x:v>
      </x:c>
      <x:c r="E169" t="str">
        <x:v>Formal Shirt</x:v>
      </x:c>
      <x:c r="F169" t="str">
        <x:v>Apparel</x:v>
      </x:c>
      <x:c r="G169" t="n">
        <x:v>5</x:v>
      </x:c>
      <x:c r="H169" s="30" t="n">
        <x:v>1450</x:v>
      </x:c>
      <x:c r="I169" s="32" t="n">
        <x:v>0.1</x:v>
      </x:c>
      <x:c r="J169" s="30" t="n">
        <x:v>6525</x:v>
      </x:c>
      <x:c r="K169" s="30" t="n">
        <x:v>4400</x:v>
      </x:c>
      <x:c r="L169" s="30" t="n">
        <x:v>2125</x:v>
      </x:c>
    </x:row>
    <x:row r="170">
      <x:c r="A170" t="str">
        <x:v>TX-0169</x:v>
      </x:c>
      <x:c r="B170" s="28" t="n">
        <x:v>46107</x:v>
      </x:c>
      <x:c r="C170" t="str">
        <x:v>Dhaka</x:v>
      </x:c>
      <x:c r="D170" t="str">
        <x:v>Partner</x:v>
      </x:c>
      <x:c r="E170" t="str">
        <x:v>Notebook Set</x:v>
      </x:c>
      <x:c r="F170" t="str">
        <x:v>Stationery</x:v>
      </x:c>
      <x:c r="G170" t="n">
        <x:v>5</x:v>
      </x:c>
      <x:c r="H170" s="30" t="n">
        <x:v>320</x:v>
      </x:c>
      <x:c r="I170" s="32" t="n">
        <x:v>0.15</x:v>
      </x:c>
      <x:c r="J170" s="30" t="n">
        <x:v>1360</x:v>
      </x:c>
      <x:c r="K170" s="30" t="n">
        <x:v>850</x:v>
      </x:c>
      <x:c r="L170" s="30" t="n">
        <x:v>510</x:v>
      </x:c>
    </x:row>
    <x:row r="171">
      <x:c r="A171" t="str">
        <x:v>TX-0170</x:v>
      </x:c>
      <x:c r="B171" s="28" t="n">
        <x:v>46107</x:v>
      </x:c>
      <x:c r="C171" t="str">
        <x:v>Chattogram</x:v>
      </x:c>
      <x:c r="D171" t="str">
        <x:v>Partner</x:v>
      </x:c>
      <x:c r="E171" t="str">
        <x:v>Polo Shirt</x:v>
      </x:c>
      <x:c r="F171" t="str">
        <x:v>Apparel</x:v>
      </x:c>
      <x:c r="G171" t="n">
        <x:v>8</x:v>
      </x:c>
      <x:c r="H171" s="30" t="n">
        <x:v>1200</x:v>
      </x:c>
      <x:c r="I171" s="32" t="n">
        <x:v>0.15</x:v>
      </x:c>
      <x:c r="J171" s="30" t="n">
        <x:v>8160</x:v>
      </x:c>
      <x:c r="K171" s="30" t="n">
        <x:v>5760</x:v>
      </x:c>
      <x:c r="L171" s="30" t="n">
        <x:v>2400</x:v>
      </x:c>
    </x:row>
    <x:row r="172">
      <x:c r="A172" t="str">
        <x:v>TX-0171</x:v>
      </x:c>
      <x:c r="B172" s="28" t="n">
        <x:v>46108</x:v>
      </x:c>
      <x:c r="C172" t="str">
        <x:v>Rajshahi</x:v>
      </x:c>
      <x:c r="D172" t="str">
        <x:v>Partner</x:v>
      </x:c>
      <x:c r="E172" t="str">
        <x:v>Formal Shirt</x:v>
      </x:c>
      <x:c r="F172" t="str">
        <x:v>Apparel</x:v>
      </x:c>
      <x:c r="G172" t="n">
        <x:v>7</x:v>
      </x:c>
      <x:c r="H172" s="30" t="n">
        <x:v>1450</x:v>
      </x:c>
      <x:c r="I172" s="32" t="n">
        <x:v>0.1</x:v>
      </x:c>
      <x:c r="J172" s="30" t="n">
        <x:v>9135</x:v>
      </x:c>
      <x:c r="K172" s="30" t="n">
        <x:v>6160</x:v>
      </x:c>
      <x:c r="L172" s="30" t="n">
        <x:v>2975</x:v>
      </x:c>
    </x:row>
    <x:row r="173">
      <x:c r="A173" t="str">
        <x:v>TX-0172</x:v>
      </x:c>
      <x:c r="B173" s="28" t="n">
        <x:v>46108</x:v>
      </x:c>
      <x:c r="C173" t="str">
        <x:v>Khulna</x:v>
      </x:c>
      <x:c r="D173" t="str">
        <x:v>Store</x:v>
      </x:c>
      <x:c r="E173" t="str">
        <x:v>Sneakers</x:v>
      </x:c>
      <x:c r="F173" t="str">
        <x:v>Footwear</x:v>
      </x:c>
      <x:c r="G173" t="n">
        <x:v>2</x:v>
      </x:c>
      <x:c r="H173" s="30" t="n">
        <x:v>2400</x:v>
      </x:c>
      <x:c r="I173" s="32" t="n">
        <x:v>0.05</x:v>
      </x:c>
      <x:c r="J173" s="30" t="n">
        <x:v>4560</x:v>
      </x:c>
      <x:c r="K173" s="30" t="n">
        <x:v>3100</x:v>
      </x:c>
      <x:c r="L173" s="30" t="n">
        <x:v>1460</x:v>
      </x:c>
    </x:row>
    <x:row r="174">
      <x:c r="A174" t="str">
        <x:v>TX-0173</x:v>
      </x:c>
      <x:c r="B174" s="28" t="n">
        <x:v>46109</x:v>
      </x:c>
      <x:c r="C174" t="str">
        <x:v>Dhaka</x:v>
      </x:c>
      <x:c r="D174" t="str">
        <x:v>Store</x:v>
      </x:c>
      <x:c r="E174" t="str">
        <x:v>Notebook Set</x:v>
      </x:c>
      <x:c r="F174" t="str">
        <x:v>Stationery</x:v>
      </x:c>
      <x:c r="G174" t="n">
        <x:v>8</x:v>
      </x:c>
      <x:c r="H174" s="30" t="n">
        <x:v>320</x:v>
      </x:c>
      <x:c r="I174" s="32" t="n">
        <x:v>0.15</x:v>
      </x:c>
      <x:c r="J174" s="30" t="n">
        <x:v>2176</x:v>
      </x:c>
      <x:c r="K174" s="30" t="n">
        <x:v>1360</x:v>
      </x:c>
      <x:c r="L174" s="30" t="n">
        <x:v>816</x:v>
      </x:c>
    </x:row>
    <x:row r="175">
      <x:c r="A175" t="str">
        <x:v>TX-0174</x:v>
      </x:c>
      <x:c r="B175" s="28" t="n">
        <x:v>46109</x:v>
      </x:c>
      <x:c r="C175" t="str">
        <x:v>Chattogram</x:v>
      </x:c>
      <x:c r="D175" t="str">
        <x:v>Store</x:v>
      </x:c>
      <x:c r="E175" t="str">
        <x:v>Sneakers</x:v>
      </x:c>
      <x:c r="F175" t="str">
        <x:v>Footwear</x:v>
      </x:c>
      <x:c r="G175" t="n">
        <x:v>8</x:v>
      </x:c>
      <x:c r="H175" s="30" t="n">
        <x:v>2400</x:v>
      </x:c>
      <x:c r="I175" s="32" t="n">
        <x:v>0.05</x:v>
      </x:c>
      <x:c r="J175" s="30" t="n">
        <x:v>18240</x:v>
      </x:c>
      <x:c r="K175" s="30" t="n">
        <x:v>12400</x:v>
      </x:c>
      <x:c r="L175" s="30" t="n">
        <x:v>5840</x:v>
      </x:c>
    </x:row>
    <x:row r="176">
      <x:c r="A176" t="str">
        <x:v>TX-0175</x:v>
      </x:c>
      <x:c r="B176" s="28" t="n">
        <x:v>46110</x:v>
      </x:c>
      <x:c r="C176" t="str">
        <x:v>Rajshahi</x:v>
      </x:c>
      <x:c r="D176" t="str">
        <x:v>Online</x:v>
      </x:c>
      <x:c r="E176" t="str">
        <x:v>Polo Shirt</x:v>
      </x:c>
      <x:c r="F176" t="str">
        <x:v>Apparel</x:v>
      </x:c>
      <x:c r="G176" t="n">
        <x:v>3</x:v>
      </x:c>
      <x:c r="H176" s="30" t="n">
        <x:v>1200</x:v>
      </x:c>
      <x:c r="I176" s="32" t="n">
        <x:v>0</x:v>
      </x:c>
      <x:c r="J176" s="30" t="n">
        <x:v>3600</x:v>
      </x:c>
      <x:c r="K176" s="30" t="n">
        <x:v>2160</x:v>
      </x:c>
      <x:c r="L176" s="30" t="n">
        <x:v>1440</x:v>
      </x:c>
    </x:row>
    <x:row r="177">
      <x:c r="A177" t="str">
        <x:v>TX-0176</x:v>
      </x:c>
      <x:c r="B177" s="28" t="n">
        <x:v>46110</x:v>
      </x:c>
      <x:c r="C177" t="str">
        <x:v>Khulna</x:v>
      </x:c>
      <x:c r="D177" t="str">
        <x:v>Online</x:v>
      </x:c>
      <x:c r="E177" t="str">
        <x:v>Formal Shirt</x:v>
      </x:c>
      <x:c r="F177" t="str">
        <x:v>Apparel</x:v>
      </x:c>
      <x:c r="G177" t="n">
        <x:v>5</x:v>
      </x:c>
      <x:c r="H177" s="30" t="n">
        <x:v>1450</x:v>
      </x:c>
      <x:c r="I177" s="32" t="n">
        <x:v>0.05</x:v>
      </x:c>
      <x:c r="J177" s="30" t="n">
        <x:v>6887.5</x:v>
      </x:c>
      <x:c r="K177" s="30" t="n">
        <x:v>4400</x:v>
      </x:c>
      <x:c r="L177" s="30" t="n">
        <x:v>2487.5</x:v>
      </x:c>
    </x:row>
    <x:row r="178">
      <x:c r="A178" t="str">
        <x:v>TX-0177</x:v>
      </x:c>
      <x:c r="B178" s="28" t="n">
        <x:v>46111</x:v>
      </x:c>
      <x:c r="C178" t="str">
        <x:v>Dhaka</x:v>
      </x:c>
      <x:c r="D178" t="str">
        <x:v>Online</x:v>
      </x:c>
      <x:c r="E178" t="str">
        <x:v>Notebook Set</x:v>
      </x:c>
      <x:c r="F178" t="str">
        <x:v>Stationery</x:v>
      </x:c>
      <x:c r="G178" t="n">
        <x:v>4</x:v>
      </x:c>
      <x:c r="H178" s="30" t="n">
        <x:v>320</x:v>
      </x:c>
      <x:c r="I178" s="32" t="n">
        <x:v>0</x:v>
      </x:c>
      <x:c r="J178" s="30" t="n">
        <x:v>1280</x:v>
      </x:c>
      <x:c r="K178" s="30" t="n">
        <x:v>680</x:v>
      </x:c>
      <x:c r="L178" s="30" t="n">
        <x:v>600</x:v>
      </x:c>
    </x:row>
    <x:row r="179">
      <x:c r="A179" t="str">
        <x:v>TX-0178</x:v>
      </x:c>
      <x:c r="B179" s="28" t="n">
        <x:v>46111</x:v>
      </x:c>
      <x:c r="C179" t="str">
        <x:v>Chattogram</x:v>
      </x:c>
      <x:c r="D179" t="str">
        <x:v>Partner</x:v>
      </x:c>
      <x:c r="E179" t="str">
        <x:v>Notebook Set</x:v>
      </x:c>
      <x:c r="F179" t="str">
        <x:v>Stationery</x:v>
      </x:c>
      <x:c r="G179" t="n">
        <x:v>1</x:v>
      </x:c>
      <x:c r="H179" s="30" t="n">
        <x:v>320</x:v>
      </x:c>
      <x:c r="I179" s="32" t="n">
        <x:v>0.1</x:v>
      </x:c>
      <x:c r="J179" s="30" t="n">
        <x:v>288</x:v>
      </x:c>
      <x:c r="K179" s="30" t="n">
        <x:v>170</x:v>
      </x:c>
      <x:c r="L179" s="30" t="n">
        <x:v>118</x:v>
      </x:c>
    </x:row>
    <x:row r="180">
      <x:c r="A180" t="str">
        <x:v>TX-0179</x:v>
      </x:c>
      <x:c r="B180" s="28" t="n">
        <x:v>46112</x:v>
      </x:c>
      <x:c r="C180" t="str">
        <x:v>Rajshahi</x:v>
      </x:c>
      <x:c r="D180" t="str">
        <x:v>Partner</x:v>
      </x:c>
      <x:c r="E180" t="str">
        <x:v>Formal Shirt</x:v>
      </x:c>
      <x:c r="F180" t="str">
        <x:v>Apparel</x:v>
      </x:c>
      <x:c r="G180" t="n">
        <x:v>7</x:v>
      </x:c>
      <x:c r="H180" s="30" t="n">
        <x:v>1450</x:v>
      </x:c>
      <x:c r="I180" s="32" t="n">
        <x:v>0</x:v>
      </x:c>
      <x:c r="J180" s="30" t="n">
        <x:v>10150</x:v>
      </x:c>
      <x:c r="K180" s="30" t="n">
        <x:v>6160</x:v>
      </x:c>
      <x:c r="L180" s="30" t="n">
        <x:v>3990</x:v>
      </x:c>
    </x:row>
    <x:row r="181">
      <x:c r="A181" t="str">
        <x:v>TX-0180</x:v>
      </x:c>
      <x:c r="B181" s="28" t="n">
        <x:v>46112</x:v>
      </x:c>
      <x:c r="C181" t="str">
        <x:v>Khulna</x:v>
      </x:c>
      <x:c r="D181" t="str">
        <x:v>Partner</x:v>
      </x:c>
      <x:c r="E181" t="str">
        <x:v>Sneakers</x:v>
      </x:c>
      <x:c r="F181" t="str">
        <x:v>Footwear</x:v>
      </x:c>
      <x:c r="G181" t="n">
        <x:v>6</x:v>
      </x:c>
      <x:c r="H181" s="30" t="n">
        <x:v>2400</x:v>
      </x:c>
      <x:c r="I181" s="32" t="n">
        <x:v>0.15</x:v>
      </x:c>
      <x:c r="J181" s="30" t="n">
        <x:v>12240</x:v>
      </x:c>
      <x:c r="K181" s="30" t="n">
        <x:v>9300</x:v>
      </x:c>
      <x:c r="L181" s="30" t="n">
        <x:v>2940</x:v>
      </x:c>
    </x:row>
    <x:row r="182">
      <x:c r="A182" t="str">
        <x:v>TX-0181</x:v>
      </x:c>
      <x:c r="B182" s="28" t="n">
        <x:v>46113</x:v>
      </x:c>
      <x:c r="C182" t="str">
        <x:v>Dhaka</x:v>
      </x:c>
      <x:c r="D182" t="str">
        <x:v>Store</x:v>
      </x:c>
      <x:c r="E182" t="str">
        <x:v>Polo Shirt</x:v>
      </x:c>
      <x:c r="F182" t="str">
        <x:v>Apparel</x:v>
      </x:c>
      <x:c r="G182" t="n">
        <x:v>7</x:v>
      </x:c>
      <x:c r="H182" s="30" t="n">
        <x:v>1200</x:v>
      </x:c>
      <x:c r="I182" s="32" t="n">
        <x:v>0</x:v>
      </x:c>
      <x:c r="J182" s="30" t="n">
        <x:v>8400</x:v>
      </x:c>
      <x:c r="K182" s="30" t="n">
        <x:v>5040</x:v>
      </x:c>
      <x:c r="L182" s="30" t="n">
        <x:v>3360</x:v>
      </x:c>
    </x:row>
    <x:row r="183">
      <x:c r="A183" t="str">
        <x:v>TX-0182</x:v>
      </x:c>
      <x:c r="B183" s="28" t="n">
        <x:v>46113</x:v>
      </x:c>
      <x:c r="C183" t="str">
        <x:v>Chattogram</x:v>
      </x:c>
      <x:c r="D183" t="str">
        <x:v>Store</x:v>
      </x:c>
      <x:c r="E183" t="str">
        <x:v>Backpack</x:v>
      </x:c>
      <x:c r="F183" t="str">
        <x:v>Accessories</x:v>
      </x:c>
      <x:c r="G183" t="n">
        <x:v>5</x:v>
      </x:c>
      <x:c r="H183" s="30" t="n">
        <x:v>1800</x:v>
      </x:c>
      <x:c r="I183" s="32" t="n">
        <x:v>0</x:v>
      </x:c>
      <x:c r="J183" s="30" t="n">
        <x:v>9000</x:v>
      </x:c>
      <x:c r="K183" s="30" t="n">
        <x:v>5600</x:v>
      </x:c>
      <x:c r="L183" s="30" t="n">
        <x:v>3400</x:v>
      </x:c>
    </x:row>
    <x:row r="184">
      <x:c r="A184" t="str">
        <x:v>TX-0183</x:v>
      </x:c>
      <x:c r="B184" s="28" t="n">
        <x:v>46114</x:v>
      </x:c>
      <x:c r="C184" t="str">
        <x:v>Rajshahi</x:v>
      </x:c>
      <x:c r="D184" t="str">
        <x:v>Store</x:v>
      </x:c>
      <x:c r="E184" t="str">
        <x:v>Formal Shirt</x:v>
      </x:c>
      <x:c r="F184" t="str">
        <x:v>Apparel</x:v>
      </x:c>
      <x:c r="G184" t="n">
        <x:v>5</x:v>
      </x:c>
      <x:c r="H184" s="30" t="n">
        <x:v>1450</x:v>
      </x:c>
      <x:c r="I184" s="32" t="n">
        <x:v>0.1</x:v>
      </x:c>
      <x:c r="J184" s="30" t="n">
        <x:v>6525</x:v>
      </x:c>
      <x:c r="K184" s="30" t="n">
        <x:v>4400</x:v>
      </x:c>
      <x:c r="L184" s="30" t="n">
        <x:v>2125</x:v>
      </x:c>
    </x:row>
    <x:row r="185">
      <x:c r="A185" t="str">
        <x:v>TX-0184</x:v>
      </x:c>
      <x:c r="B185" s="28" t="n">
        <x:v>46114</x:v>
      </x:c>
      <x:c r="C185" t="str">
        <x:v>Khulna</x:v>
      </x:c>
      <x:c r="D185" t="str">
        <x:v>Online</x:v>
      </x:c>
      <x:c r="E185" t="str">
        <x:v>T-Shirt</x:v>
      </x:c>
      <x:c r="F185" t="str">
        <x:v>Apparel</x:v>
      </x:c>
      <x:c r="G185" t="n">
        <x:v>2</x:v>
      </x:c>
      <x:c r="H185" s="30" t="n">
        <x:v>650</x:v>
      </x:c>
      <x:c r="I185" s="32" t="n">
        <x:v>0</x:v>
      </x:c>
      <x:c r="J185" s="30" t="n">
        <x:v>1300</x:v>
      </x:c>
      <x:c r="K185" s="30" t="n">
        <x:v>720</x:v>
      </x:c>
      <x:c r="L185" s="30" t="n">
        <x:v>580</x:v>
      </x:c>
    </x:row>
    <x:row r="186">
      <x:c r="A186" t="str">
        <x:v>TX-0185</x:v>
      </x:c>
      <x:c r="B186" s="28" t="n">
        <x:v>46115</x:v>
      </x:c>
      <x:c r="C186" t="str">
        <x:v>Dhaka</x:v>
      </x:c>
      <x:c r="D186" t="str">
        <x:v>Online</x:v>
      </x:c>
      <x:c r="E186" t="str">
        <x:v>T-Shirt</x:v>
      </x:c>
      <x:c r="F186" t="str">
        <x:v>Apparel</x:v>
      </x:c>
      <x:c r="G186" t="n">
        <x:v>3</x:v>
      </x:c>
      <x:c r="H186" s="30" t="n">
        <x:v>650</x:v>
      </x:c>
      <x:c r="I186" s="32" t="n">
        <x:v>0</x:v>
      </x:c>
      <x:c r="J186" s="30" t="n">
        <x:v>1950</x:v>
      </x:c>
      <x:c r="K186" s="30" t="n">
        <x:v>1080</x:v>
      </x:c>
      <x:c r="L186" s="30" t="n">
        <x:v>870</x:v>
      </x:c>
    </x:row>
    <x:row r="187">
      <x:c r="A187" t="str">
        <x:v>TX-0186</x:v>
      </x:c>
      <x:c r="B187" s="28" t="n">
        <x:v>46115</x:v>
      </x:c>
      <x:c r="C187" t="str">
        <x:v>Chattogram</x:v>
      </x:c>
      <x:c r="D187" t="str">
        <x:v>Online</x:v>
      </x:c>
      <x:c r="E187" t="str">
        <x:v>Notebook Set</x:v>
      </x:c>
      <x:c r="F187" t="str">
        <x:v>Stationery</x:v>
      </x:c>
      <x:c r="G187" t="n">
        <x:v>3</x:v>
      </x:c>
      <x:c r="H187" s="30" t="n">
        <x:v>320</x:v>
      </x:c>
      <x:c r="I187" s="32" t="n">
        <x:v>0</x:v>
      </x:c>
      <x:c r="J187" s="30" t="n">
        <x:v>960</x:v>
      </x:c>
      <x:c r="K187" s="30" t="n">
        <x:v>510</x:v>
      </x:c>
      <x:c r="L187" s="30" t="n">
        <x:v>450</x:v>
      </x:c>
    </x:row>
    <x:row r="188">
      <x:c r="A188" t="str">
        <x:v>TX-0187</x:v>
      </x:c>
      <x:c r="B188" s="28" t="n">
        <x:v>46116</x:v>
      </x:c>
      <x:c r="C188" t="str">
        <x:v>Rajshahi</x:v>
      </x:c>
      <x:c r="D188" t="str">
        <x:v>Partner</x:v>
      </x:c>
      <x:c r="E188" t="str">
        <x:v>Polo Shirt</x:v>
      </x:c>
      <x:c r="F188" t="str">
        <x:v>Apparel</x:v>
      </x:c>
      <x:c r="G188" t="n">
        <x:v>1</x:v>
      </x:c>
      <x:c r="H188" s="30" t="n">
        <x:v>1200</x:v>
      </x:c>
      <x:c r="I188" s="32" t="n">
        <x:v>0</x:v>
      </x:c>
      <x:c r="J188" s="30" t="n">
        <x:v>1200</x:v>
      </x:c>
      <x:c r="K188" s="30" t="n">
        <x:v>720</x:v>
      </x:c>
      <x:c r="L188" s="30" t="n">
        <x:v>480</x:v>
      </x:c>
    </x:row>
    <x:row r="189">
      <x:c r="A189" t="str">
        <x:v>TX-0188</x:v>
      </x:c>
      <x:c r="B189" s="28" t="n">
        <x:v>46116</x:v>
      </x:c>
      <x:c r="C189" t="str">
        <x:v>Khulna</x:v>
      </x:c>
      <x:c r="D189" t="str">
        <x:v>Partner</x:v>
      </x:c>
      <x:c r="E189" t="str">
        <x:v>Formal Shirt</x:v>
      </x:c>
      <x:c r="F189" t="str">
        <x:v>Apparel</x:v>
      </x:c>
      <x:c r="G189" t="n">
        <x:v>8</x:v>
      </x:c>
      <x:c r="H189" s="30" t="n">
        <x:v>1450</x:v>
      </x:c>
      <x:c r="I189" s="32" t="n">
        <x:v>0.15</x:v>
      </x:c>
      <x:c r="J189" s="30" t="n">
        <x:v>9860</x:v>
      </x:c>
      <x:c r="K189" s="30" t="n">
        <x:v>7040</x:v>
      </x:c>
      <x:c r="L189" s="30" t="n">
        <x:v>2820</x:v>
      </x:c>
    </x:row>
    <x:row r="190">
      <x:c r="A190" t="str">
        <x:v>TX-0189</x:v>
      </x:c>
      <x:c r="B190" s="28" t="n">
        <x:v>46117</x:v>
      </x:c>
      <x:c r="C190" t="str">
        <x:v>Dhaka</x:v>
      </x:c>
      <x:c r="D190" t="str">
        <x:v>Partner</x:v>
      </x:c>
      <x:c r="E190" t="str">
        <x:v>Polo Shirt</x:v>
      </x:c>
      <x:c r="F190" t="str">
        <x:v>Apparel</x:v>
      </x:c>
      <x:c r="G190" t="n">
        <x:v>6</x:v>
      </x:c>
      <x:c r="H190" s="30" t="n">
        <x:v>1200</x:v>
      </x:c>
      <x:c r="I190" s="32" t="n">
        <x:v>0.1</x:v>
      </x:c>
      <x:c r="J190" s="30" t="n">
        <x:v>6480</x:v>
      </x:c>
      <x:c r="K190" s="30" t="n">
        <x:v>4320</x:v>
      </x:c>
      <x:c r="L190" s="30" t="n">
        <x:v>2160</x:v>
      </x:c>
    </x:row>
    <x:row r="191">
      <x:c r="A191" t="str">
        <x:v>TX-0190</x:v>
      </x:c>
      <x:c r="B191" s="28" t="n">
        <x:v>46117</x:v>
      </x:c>
      <x:c r="C191" t="str">
        <x:v>Chattogram</x:v>
      </x:c>
      <x:c r="D191" t="str">
        <x:v>Store</x:v>
      </x:c>
      <x:c r="E191" t="str">
        <x:v>Backpack</x:v>
      </x:c>
      <x:c r="F191" t="str">
        <x:v>Accessories</x:v>
      </x:c>
      <x:c r="G191" t="n">
        <x:v>4</x:v>
      </x:c>
      <x:c r="H191" s="30" t="n">
        <x:v>1800</x:v>
      </x:c>
      <x:c r="I191" s="32" t="n">
        <x:v>0.15</x:v>
      </x:c>
      <x:c r="J191" s="30" t="n">
        <x:v>6120</x:v>
      </x:c>
      <x:c r="K191" s="30" t="n">
        <x:v>4480</x:v>
      </x:c>
      <x:c r="L191" s="30" t="n">
        <x:v>1640</x:v>
      </x:c>
    </x:row>
    <x:row r="192">
      <x:c r="A192" t="str">
        <x:v>TX-0191</x:v>
      </x:c>
      <x:c r="B192" s="28" t="n">
        <x:v>46118</x:v>
      </x:c>
      <x:c r="C192" t="str">
        <x:v>Rajshahi</x:v>
      </x:c>
      <x:c r="D192" t="str">
        <x:v>Store</x:v>
      </x:c>
      <x:c r="E192" t="str">
        <x:v>Notebook Set</x:v>
      </x:c>
      <x:c r="F192" t="str">
        <x:v>Stationery</x:v>
      </x:c>
      <x:c r="G192" t="n">
        <x:v>3</x:v>
      </x:c>
      <x:c r="H192" s="30" t="n">
        <x:v>320</x:v>
      </x:c>
      <x:c r="I192" s="32" t="n">
        <x:v>0.15</x:v>
      </x:c>
      <x:c r="J192" s="30" t="n">
        <x:v>816</x:v>
      </x:c>
      <x:c r="K192" s="30" t="n">
        <x:v>510</x:v>
      </x:c>
      <x:c r="L192" s="30" t="n">
        <x:v>306</x:v>
      </x:c>
    </x:row>
    <x:row r="193">
      <x:c r="A193" t="str">
        <x:v>TX-0192</x:v>
      </x:c>
      <x:c r="B193" s="28" t="n">
        <x:v>46118</x:v>
      </x:c>
      <x:c r="C193" t="str">
        <x:v>Khulna</x:v>
      </x:c>
      <x:c r="D193" t="str">
        <x:v>Store</x:v>
      </x:c>
      <x:c r="E193" t="str">
        <x:v>T-Shirt</x:v>
      </x:c>
      <x:c r="F193" t="str">
        <x:v>Apparel</x:v>
      </x:c>
      <x:c r="G193" t="n">
        <x:v>5</x:v>
      </x:c>
      <x:c r="H193" s="30" t="n">
        <x:v>650</x:v>
      </x:c>
      <x:c r="I193" s="32" t="n">
        <x:v>0.15</x:v>
      </x:c>
      <x:c r="J193" s="30" t="n">
        <x:v>2762.5</x:v>
      </x:c>
      <x:c r="K193" s="30" t="n">
        <x:v>1800</x:v>
      </x:c>
      <x:c r="L193" s="30" t="n">
        <x:v>962.5</x:v>
      </x:c>
    </x:row>
    <x:row r="194">
      <x:c r="A194" t="str">
        <x:v>TX-0193</x:v>
      </x:c>
      <x:c r="B194" s="28" t="n">
        <x:v>46119</x:v>
      </x:c>
      <x:c r="C194" t="str">
        <x:v>Dhaka</x:v>
      </x:c>
      <x:c r="D194" t="str">
        <x:v>Online</x:v>
      </x:c>
      <x:c r="E194" t="str">
        <x:v>Sneakers</x:v>
      </x:c>
      <x:c r="F194" t="str">
        <x:v>Footwear</x:v>
      </x:c>
      <x:c r="G194" t="n">
        <x:v>4</x:v>
      </x:c>
      <x:c r="H194" s="30" t="n">
        <x:v>2400</x:v>
      </x:c>
      <x:c r="I194" s="32" t="n">
        <x:v>0.05</x:v>
      </x:c>
      <x:c r="J194" s="30" t="n">
        <x:v>9120</x:v>
      </x:c>
      <x:c r="K194" s="30" t="n">
        <x:v>6200</x:v>
      </x:c>
      <x:c r="L194" s="30" t="n">
        <x:v>2920</x:v>
      </x:c>
    </x:row>
    <x:row r="195">
      <x:c r="A195" t="str">
        <x:v>TX-0194</x:v>
      </x:c>
      <x:c r="B195" s="28" t="n">
        <x:v>46119</x:v>
      </x:c>
      <x:c r="C195" t="str">
        <x:v>Chattogram</x:v>
      </x:c>
      <x:c r="D195" t="str">
        <x:v>Online</x:v>
      </x:c>
      <x:c r="E195" t="str">
        <x:v>T-Shirt</x:v>
      </x:c>
      <x:c r="F195" t="str">
        <x:v>Apparel</x:v>
      </x:c>
      <x:c r="G195" t="n">
        <x:v>3</x:v>
      </x:c>
      <x:c r="H195" s="30" t="n">
        <x:v>650</x:v>
      </x:c>
      <x:c r="I195" s="32" t="n">
        <x:v>0</x:v>
      </x:c>
      <x:c r="J195" s="30" t="n">
        <x:v>1950</x:v>
      </x:c>
      <x:c r="K195" s="30" t="n">
        <x:v>1080</x:v>
      </x:c>
      <x:c r="L195" s="30" t="n">
        <x:v>870</x:v>
      </x:c>
    </x:row>
    <x:row r="196">
      <x:c r="A196" t="str">
        <x:v>TX-0195</x:v>
      </x:c>
      <x:c r="B196" s="28" t="n">
        <x:v>46120</x:v>
      </x:c>
      <x:c r="C196" t="str">
        <x:v>Rajshahi</x:v>
      </x:c>
      <x:c r="D196" t="str">
        <x:v>Online</x:v>
      </x:c>
      <x:c r="E196" t="str">
        <x:v>Polo Shirt</x:v>
      </x:c>
      <x:c r="F196" t="str">
        <x:v>Apparel</x:v>
      </x:c>
      <x:c r="G196" t="n">
        <x:v>8</x:v>
      </x:c>
      <x:c r="H196" s="30" t="n">
        <x:v>1200</x:v>
      </x:c>
      <x:c r="I196" s="32" t="n">
        <x:v>0</x:v>
      </x:c>
      <x:c r="J196" s="30" t="n">
        <x:v>9600</x:v>
      </x:c>
      <x:c r="K196" s="30" t="n">
        <x:v>5760</x:v>
      </x:c>
      <x:c r="L196" s="30" t="n">
        <x:v>3840</x:v>
      </x:c>
    </x:row>
    <x:row r="197">
      <x:c r="A197" t="str">
        <x:v>TX-0196</x:v>
      </x:c>
      <x:c r="B197" s="28" t="n">
        <x:v>46120</x:v>
      </x:c>
      <x:c r="C197" t="str">
        <x:v>Khulna</x:v>
      </x:c>
      <x:c r="D197" t="str">
        <x:v>Partner</x:v>
      </x:c>
      <x:c r="E197" t="str">
        <x:v>Formal Shirt</x:v>
      </x:c>
      <x:c r="F197" t="str">
        <x:v>Apparel</x:v>
      </x:c>
      <x:c r="G197" t="n">
        <x:v>8</x:v>
      </x:c>
      <x:c r="H197" s="30" t="n">
        <x:v>1450</x:v>
      </x:c>
      <x:c r="I197" s="32" t="n">
        <x:v>0.15</x:v>
      </x:c>
      <x:c r="J197" s="30" t="n">
        <x:v>9860</x:v>
      </x:c>
      <x:c r="K197" s="30" t="n">
        <x:v>7040</x:v>
      </x:c>
      <x:c r="L197" s="30" t="n">
        <x:v>2820</x:v>
      </x:c>
    </x:row>
    <x:row r="198">
      <x:c r="A198" t="str">
        <x:v>TX-0197</x:v>
      </x:c>
      <x:c r="B198" s="28" t="n">
        <x:v>46121</x:v>
      </x:c>
      <x:c r="C198" t="str">
        <x:v>Dhaka</x:v>
      </x:c>
      <x:c r="D198" t="str">
        <x:v>Partner</x:v>
      </x:c>
      <x:c r="E198" t="str">
        <x:v>Notebook Set</x:v>
      </x:c>
      <x:c r="F198" t="str">
        <x:v>Stationery</x:v>
      </x:c>
      <x:c r="G198" t="n">
        <x:v>7</x:v>
      </x:c>
      <x:c r="H198" s="30" t="n">
        <x:v>320</x:v>
      </x:c>
      <x:c r="I198" s="32" t="n">
        <x:v>0.15</x:v>
      </x:c>
      <x:c r="J198" s="30" t="n">
        <x:v>1904</x:v>
      </x:c>
      <x:c r="K198" s="30" t="n">
        <x:v>1190</x:v>
      </x:c>
      <x:c r="L198" s="30" t="n">
        <x:v>714</x:v>
      </x:c>
    </x:row>
    <x:row r="199">
      <x:c r="A199" t="str">
        <x:v>TX-0198</x:v>
      </x:c>
      <x:c r="B199" s="28" t="n">
        <x:v>46121</x:v>
      </x:c>
      <x:c r="C199" t="str">
        <x:v>Chattogram</x:v>
      </x:c>
      <x:c r="D199" t="str">
        <x:v>Partner</x:v>
      </x:c>
      <x:c r="E199" t="str">
        <x:v>Sneakers</x:v>
      </x:c>
      <x:c r="F199" t="str">
        <x:v>Footwear</x:v>
      </x:c>
      <x:c r="G199" t="n">
        <x:v>6</x:v>
      </x:c>
      <x:c r="H199" s="30" t="n">
        <x:v>2400</x:v>
      </x:c>
      <x:c r="I199" s="32" t="n">
        <x:v>0</x:v>
      </x:c>
      <x:c r="J199" s="30" t="n">
        <x:v>14400</x:v>
      </x:c>
      <x:c r="K199" s="30" t="n">
        <x:v>9300</x:v>
      </x:c>
      <x:c r="L199" s="30" t="n">
        <x:v>5100</x:v>
      </x:c>
    </x:row>
    <x:row r="200">
      <x:c r="A200" t="str">
        <x:v>TX-0199</x:v>
      </x:c>
      <x:c r="B200" s="28" t="n">
        <x:v>46122</x:v>
      </x:c>
      <x:c r="C200" t="str">
        <x:v>Rajshahi</x:v>
      </x:c>
      <x:c r="D200" t="str">
        <x:v>Store</x:v>
      </x:c>
      <x:c r="E200" t="str">
        <x:v>T-Shirt</x:v>
      </x:c>
      <x:c r="F200" t="str">
        <x:v>Apparel</x:v>
      </x:c>
      <x:c r="G200" t="n">
        <x:v>4</x:v>
      </x:c>
      <x:c r="H200" s="30" t="n">
        <x:v>650</x:v>
      </x:c>
      <x:c r="I200" s="32" t="n">
        <x:v>0.15</x:v>
      </x:c>
      <x:c r="J200" s="30" t="n">
        <x:v>2210</x:v>
      </x:c>
      <x:c r="K200" s="30" t="n">
        <x:v>1440</x:v>
      </x:c>
      <x:c r="L200" s="30" t="n">
        <x:v>770</x:v>
      </x:c>
    </x:row>
    <x:row r="201">
      <x:c r="A201" t="str">
        <x:v>TX-0200</x:v>
      </x:c>
      <x:c r="B201" s="28" t="n">
        <x:v>46122</x:v>
      </x:c>
      <x:c r="C201" t="str">
        <x:v>Khulna</x:v>
      </x:c>
      <x:c r="D201" t="str">
        <x:v>Store</x:v>
      </x:c>
      <x:c r="E201" t="str">
        <x:v>Sneakers</x:v>
      </x:c>
      <x:c r="F201" t="str">
        <x:v>Footwear</x:v>
      </x:c>
      <x:c r="G201" t="n">
        <x:v>4</x:v>
      </x:c>
      <x:c r="H201" s="30" t="n">
        <x:v>2400</x:v>
      </x:c>
      <x:c r="I201" s="32" t="n">
        <x:v>0.15</x:v>
      </x:c>
      <x:c r="J201" s="30" t="n">
        <x:v>8160</x:v>
      </x:c>
      <x:c r="K201" s="30" t="n">
        <x:v>6200</x:v>
      </x:c>
      <x:c r="L201" s="30" t="n">
        <x:v>1960</x:v>
      </x:c>
    </x:row>
    <x:row r="202">
      <x:c r="A202" t="str">
        <x:v>TX-0201</x:v>
      </x:c>
      <x:c r="B202" s="28" t="n">
        <x:v>46123</x:v>
      </x:c>
      <x:c r="C202" t="str">
        <x:v>Dhaka</x:v>
      </x:c>
      <x:c r="D202" t="str">
        <x:v>Store</x:v>
      </x:c>
      <x:c r="E202" t="str">
        <x:v>Backpack</x:v>
      </x:c>
      <x:c r="F202" t="str">
        <x:v>Accessories</x:v>
      </x:c>
      <x:c r="G202" t="n">
        <x:v>3</x:v>
      </x:c>
      <x:c r="H202" s="30" t="n">
        <x:v>1800</x:v>
      </x:c>
      <x:c r="I202" s="32" t="n">
        <x:v>0.1</x:v>
      </x:c>
      <x:c r="J202" s="30" t="n">
        <x:v>4860</x:v>
      </x:c>
      <x:c r="K202" s="30" t="n">
        <x:v>3360</x:v>
      </x:c>
      <x:c r="L202" s="30" t="n">
        <x:v>1500</x:v>
      </x:c>
    </x:row>
    <x:row r="203">
      <x:c r="A203" t="str">
        <x:v>TX-0202</x:v>
      </x:c>
      <x:c r="B203" s="28" t="n">
        <x:v>46123</x:v>
      </x:c>
      <x:c r="C203" t="str">
        <x:v>Chattogram</x:v>
      </x:c>
      <x:c r="D203" t="str">
        <x:v>Online</x:v>
      </x:c>
      <x:c r="E203" t="str">
        <x:v>Polo Shirt</x:v>
      </x:c>
      <x:c r="F203" t="str">
        <x:v>Apparel</x:v>
      </x:c>
      <x:c r="G203" t="n">
        <x:v>2</x:v>
      </x:c>
      <x:c r="H203" s="30" t="n">
        <x:v>1200</x:v>
      </x:c>
      <x:c r="I203" s="32" t="n">
        <x:v>0.1</x:v>
      </x:c>
      <x:c r="J203" s="30" t="n">
        <x:v>2160</x:v>
      </x:c>
      <x:c r="K203" s="30" t="n">
        <x:v>1440</x:v>
      </x:c>
      <x:c r="L203" s="30" t="n">
        <x:v>720</x:v>
      </x:c>
    </x:row>
    <x:row r="204">
      <x:c r="A204" t="str">
        <x:v>TX-0203</x:v>
      </x:c>
      <x:c r="B204" s="28" t="n">
        <x:v>46124</x:v>
      </x:c>
      <x:c r="C204" t="str">
        <x:v>Rajshahi</x:v>
      </x:c>
      <x:c r="D204" t="str">
        <x:v>Online</x:v>
      </x:c>
      <x:c r="E204" t="str">
        <x:v>Backpack</x:v>
      </x:c>
      <x:c r="F204" t="str">
        <x:v>Accessories</x:v>
      </x:c>
      <x:c r="G204" t="n">
        <x:v>8</x:v>
      </x:c>
      <x:c r="H204" s="30" t="n">
        <x:v>1800</x:v>
      </x:c>
      <x:c r="I204" s="32" t="n">
        <x:v>0.15</x:v>
      </x:c>
      <x:c r="J204" s="30" t="n">
        <x:v>12240</x:v>
      </x:c>
      <x:c r="K204" s="30" t="n">
        <x:v>8960</x:v>
      </x:c>
      <x:c r="L204" s="30" t="n">
        <x:v>3280</x:v>
      </x:c>
    </x:row>
    <x:row r="205">
      <x:c r="A205" t="str">
        <x:v>TX-0204</x:v>
      </x:c>
      <x:c r="B205" s="28" t="n">
        <x:v>46124</x:v>
      </x:c>
      <x:c r="C205" t="str">
        <x:v>Khulna</x:v>
      </x:c>
      <x:c r="D205" t="str">
        <x:v>Online</x:v>
      </x:c>
      <x:c r="E205" t="str">
        <x:v>T-Shirt</x:v>
      </x:c>
      <x:c r="F205" t="str">
        <x:v>Apparel</x:v>
      </x:c>
      <x:c r="G205" t="n">
        <x:v>6</x:v>
      </x:c>
      <x:c r="H205" s="30" t="n">
        <x:v>650</x:v>
      </x:c>
      <x:c r="I205" s="32" t="n">
        <x:v>0</x:v>
      </x:c>
      <x:c r="J205" s="30" t="n">
        <x:v>3900</x:v>
      </x:c>
      <x:c r="K205" s="30" t="n">
        <x:v>2160</x:v>
      </x:c>
      <x:c r="L205" s="30" t="n">
        <x:v>1740</x:v>
      </x:c>
    </x:row>
    <x:row r="206">
      <x:c r="A206" t="str">
        <x:v>TX-0205</x:v>
      </x:c>
      <x:c r="B206" s="28" t="n">
        <x:v>46125</x:v>
      </x:c>
      <x:c r="C206" t="str">
        <x:v>Dhaka</x:v>
      </x:c>
      <x:c r="D206" t="str">
        <x:v>Partner</x:v>
      </x:c>
      <x:c r="E206" t="str">
        <x:v>Sneakers</x:v>
      </x:c>
      <x:c r="F206" t="str">
        <x:v>Footwear</x:v>
      </x:c>
      <x:c r="G206" t="n">
        <x:v>5</x:v>
      </x:c>
      <x:c r="H206" s="30" t="n">
        <x:v>2400</x:v>
      </x:c>
      <x:c r="I206" s="32" t="n">
        <x:v>0.05</x:v>
      </x:c>
      <x:c r="J206" s="30" t="n">
        <x:v>11400</x:v>
      </x:c>
      <x:c r="K206" s="30" t="n">
        <x:v>7750</x:v>
      </x:c>
      <x:c r="L206" s="30" t="n">
        <x:v>3650</x:v>
      </x:c>
    </x:row>
    <x:row r="207">
      <x:c r="A207" t="str">
        <x:v>TX-0206</x:v>
      </x:c>
      <x:c r="B207" s="28" t="n">
        <x:v>46125</x:v>
      </x:c>
      <x:c r="C207" t="str">
        <x:v>Chattogram</x:v>
      </x:c>
      <x:c r="D207" t="str">
        <x:v>Partner</x:v>
      </x:c>
      <x:c r="E207" t="str">
        <x:v>Sneakers</x:v>
      </x:c>
      <x:c r="F207" t="str">
        <x:v>Footwear</x:v>
      </x:c>
      <x:c r="G207" t="n">
        <x:v>4</x:v>
      </x:c>
      <x:c r="H207" s="30" t="n">
        <x:v>2400</x:v>
      </x:c>
      <x:c r="I207" s="32" t="n">
        <x:v>0.05</x:v>
      </x:c>
      <x:c r="J207" s="30" t="n">
        <x:v>9120</x:v>
      </x:c>
      <x:c r="K207" s="30" t="n">
        <x:v>6200</x:v>
      </x:c>
      <x:c r="L207" s="30" t="n">
        <x:v>2920</x:v>
      </x:c>
    </x:row>
    <x:row r="208">
      <x:c r="A208" t="str">
        <x:v>TX-0207</x:v>
      </x:c>
      <x:c r="B208" s="28" t="n">
        <x:v>46126</x:v>
      </x:c>
      <x:c r="C208" t="str">
        <x:v>Rajshahi</x:v>
      </x:c>
      <x:c r="D208" t="str">
        <x:v>Partner</x:v>
      </x:c>
      <x:c r="E208" t="str">
        <x:v>T-Shirt</x:v>
      </x:c>
      <x:c r="F208" t="str">
        <x:v>Apparel</x:v>
      </x:c>
      <x:c r="G208" t="n">
        <x:v>4</x:v>
      </x:c>
      <x:c r="H208" s="30" t="n">
        <x:v>650</x:v>
      </x:c>
      <x:c r="I208" s="32" t="n">
        <x:v>0</x:v>
      </x:c>
      <x:c r="J208" s="30" t="n">
        <x:v>2600</x:v>
      </x:c>
      <x:c r="K208" s="30" t="n">
        <x:v>1440</x:v>
      </x:c>
      <x:c r="L208" s="30" t="n">
        <x:v>1160</x:v>
      </x:c>
    </x:row>
    <x:row r="209">
      <x:c r="A209" t="str">
        <x:v>TX-0208</x:v>
      </x:c>
      <x:c r="B209" s="28" t="n">
        <x:v>46126</x:v>
      </x:c>
      <x:c r="C209" t="str">
        <x:v>Khulna</x:v>
      </x:c>
      <x:c r="D209" t="str">
        <x:v>Store</x:v>
      </x:c>
      <x:c r="E209" t="str">
        <x:v>Notebook Set</x:v>
      </x:c>
      <x:c r="F209" t="str">
        <x:v>Stationery</x:v>
      </x:c>
      <x:c r="G209" t="n">
        <x:v>2</x:v>
      </x:c>
      <x:c r="H209" s="30" t="n">
        <x:v>320</x:v>
      </x:c>
      <x:c r="I209" s="32" t="n">
        <x:v>0</x:v>
      </x:c>
      <x:c r="J209" s="30" t="n">
        <x:v>640</x:v>
      </x:c>
      <x:c r="K209" s="30" t="n">
        <x:v>340</x:v>
      </x:c>
      <x:c r="L209" s="30" t="n">
        <x:v>300</x:v>
      </x:c>
    </x:row>
    <x:row r="210">
      <x:c r="A210" t="str">
        <x:v>TX-0209</x:v>
      </x:c>
      <x:c r="B210" s="28" t="n">
        <x:v>46127</x:v>
      </x:c>
      <x:c r="C210" t="str">
        <x:v>Dhaka</x:v>
      </x:c>
      <x:c r="D210" t="str">
        <x:v>Store</x:v>
      </x:c>
      <x:c r="E210" t="str">
        <x:v>Sneakers</x:v>
      </x:c>
      <x:c r="F210" t="str">
        <x:v>Footwear</x:v>
      </x:c>
      <x:c r="G210" t="n">
        <x:v>2</x:v>
      </x:c>
      <x:c r="H210" s="30" t="n">
        <x:v>2400</x:v>
      </x:c>
      <x:c r="I210" s="32" t="n">
        <x:v>0.1</x:v>
      </x:c>
      <x:c r="J210" s="30" t="n">
        <x:v>4320</x:v>
      </x:c>
      <x:c r="K210" s="30" t="n">
        <x:v>3100</x:v>
      </x:c>
      <x:c r="L210" s="30" t="n">
        <x:v>1220</x:v>
      </x:c>
    </x:row>
    <x:row r="211">
      <x:c r="A211" t="str">
        <x:v>TX-0210</x:v>
      </x:c>
      <x:c r="B211" s="28" t="n">
        <x:v>46127</x:v>
      </x:c>
      <x:c r="C211" t="str">
        <x:v>Chattogram</x:v>
      </x:c>
      <x:c r="D211" t="str">
        <x:v>Store</x:v>
      </x:c>
      <x:c r="E211" t="str">
        <x:v>Notebook Set</x:v>
      </x:c>
      <x:c r="F211" t="str">
        <x:v>Stationery</x:v>
      </x:c>
      <x:c r="G211" t="n">
        <x:v>1</x:v>
      </x:c>
      <x:c r="H211" s="30" t="n">
        <x:v>320</x:v>
      </x:c>
      <x:c r="I211" s="32" t="n">
        <x:v>0.1</x:v>
      </x:c>
      <x:c r="J211" s="30" t="n">
        <x:v>288</x:v>
      </x:c>
      <x:c r="K211" s="30" t="n">
        <x:v>170</x:v>
      </x:c>
      <x:c r="L211" s="30" t="n">
        <x:v>118</x:v>
      </x:c>
    </x:row>
    <x:row r="212">
      <x:c r="A212" t="str">
        <x:v>TX-0211</x:v>
      </x:c>
      <x:c r="B212" s="28" t="n">
        <x:v>46128</x:v>
      </x:c>
      <x:c r="C212" t="str">
        <x:v>Rajshahi</x:v>
      </x:c>
      <x:c r="D212" t="str">
        <x:v>Online</x:v>
      </x:c>
      <x:c r="E212" t="str">
        <x:v>Polo Shirt</x:v>
      </x:c>
      <x:c r="F212" t="str">
        <x:v>Apparel</x:v>
      </x:c>
      <x:c r="G212" t="n">
        <x:v>7</x:v>
      </x:c>
      <x:c r="H212" s="30" t="n">
        <x:v>1200</x:v>
      </x:c>
      <x:c r="I212" s="32" t="n">
        <x:v>0.1</x:v>
      </x:c>
      <x:c r="J212" s="30" t="n">
        <x:v>7560</x:v>
      </x:c>
      <x:c r="K212" s="30" t="n">
        <x:v>5040</x:v>
      </x:c>
      <x:c r="L212" s="30" t="n">
        <x:v>2520</x:v>
      </x:c>
    </x:row>
    <x:row r="213">
      <x:c r="A213" t="str">
        <x:v>TX-0212</x:v>
      </x:c>
      <x:c r="B213" s="28" t="n">
        <x:v>46128</x:v>
      </x:c>
      <x:c r="C213" t="str">
        <x:v>Khulna</x:v>
      </x:c>
      <x:c r="D213" t="str">
        <x:v>Online</x:v>
      </x:c>
      <x:c r="E213" t="str">
        <x:v>Polo Shirt</x:v>
      </x:c>
      <x:c r="F213" t="str">
        <x:v>Apparel</x:v>
      </x:c>
      <x:c r="G213" t="n">
        <x:v>6</x:v>
      </x:c>
      <x:c r="H213" s="30" t="n">
        <x:v>1200</x:v>
      </x:c>
      <x:c r="I213" s="32" t="n">
        <x:v>0.15</x:v>
      </x:c>
      <x:c r="J213" s="30" t="n">
        <x:v>6120</x:v>
      </x:c>
      <x:c r="K213" s="30" t="n">
        <x:v>4320</x:v>
      </x:c>
      <x:c r="L213" s="30" t="n">
        <x:v>1800</x:v>
      </x:c>
    </x:row>
    <x:row r="214">
      <x:c r="A214" t="str">
        <x:v>TX-0213</x:v>
      </x:c>
      <x:c r="B214" s="28" t="n">
        <x:v>46129</x:v>
      </x:c>
      <x:c r="C214" t="str">
        <x:v>Dhaka</x:v>
      </x:c>
      <x:c r="D214" t="str">
        <x:v>Online</x:v>
      </x:c>
      <x:c r="E214" t="str">
        <x:v>Backpack</x:v>
      </x:c>
      <x:c r="F214" t="str">
        <x:v>Accessories</x:v>
      </x:c>
      <x:c r="G214" t="n">
        <x:v>6</x:v>
      </x:c>
      <x:c r="H214" s="30" t="n">
        <x:v>1800</x:v>
      </x:c>
      <x:c r="I214" s="32" t="n">
        <x:v>0.15</x:v>
      </x:c>
      <x:c r="J214" s="30" t="n">
        <x:v>9180</x:v>
      </x:c>
      <x:c r="K214" s="30" t="n">
        <x:v>6720</x:v>
      </x:c>
      <x:c r="L214" s="30" t="n">
        <x:v>2460</x:v>
      </x:c>
    </x:row>
    <x:row r="215">
      <x:c r="A215" t="str">
        <x:v>TX-0214</x:v>
      </x:c>
      <x:c r="B215" s="28" t="n">
        <x:v>46129</x:v>
      </x:c>
      <x:c r="C215" t="str">
        <x:v>Chattogram</x:v>
      </x:c>
      <x:c r="D215" t="str">
        <x:v>Partner</x:v>
      </x:c>
      <x:c r="E215" t="str">
        <x:v>Sneakers</x:v>
      </x:c>
      <x:c r="F215" t="str">
        <x:v>Footwear</x:v>
      </x:c>
      <x:c r="G215" t="n">
        <x:v>6</x:v>
      </x:c>
      <x:c r="H215" s="30" t="n">
        <x:v>2400</x:v>
      </x:c>
      <x:c r="I215" s="32" t="n">
        <x:v>0</x:v>
      </x:c>
      <x:c r="J215" s="30" t="n">
        <x:v>14400</x:v>
      </x:c>
      <x:c r="K215" s="30" t="n">
        <x:v>9300</x:v>
      </x:c>
      <x:c r="L215" s="30" t="n">
        <x:v>5100</x:v>
      </x:c>
    </x:row>
    <x:row r="216">
      <x:c r="A216" t="str">
        <x:v>TX-0215</x:v>
      </x:c>
      <x:c r="B216" s="28" t="n">
        <x:v>46130</x:v>
      </x:c>
      <x:c r="C216" t="str">
        <x:v>Rajshahi</x:v>
      </x:c>
      <x:c r="D216" t="str">
        <x:v>Partner</x:v>
      </x:c>
      <x:c r="E216" t="str">
        <x:v>Backpack</x:v>
      </x:c>
      <x:c r="F216" t="str">
        <x:v>Accessories</x:v>
      </x:c>
      <x:c r="G216" t="n">
        <x:v>7</x:v>
      </x:c>
      <x:c r="H216" s="30" t="n">
        <x:v>1800</x:v>
      </x:c>
      <x:c r="I216" s="32" t="n">
        <x:v>0</x:v>
      </x:c>
      <x:c r="J216" s="30" t="n">
        <x:v>12600</x:v>
      </x:c>
      <x:c r="K216" s="30" t="n">
        <x:v>7840</x:v>
      </x:c>
      <x:c r="L216" s="30" t="n">
        <x:v>4760</x:v>
      </x:c>
    </x:row>
    <x:row r="217">
      <x:c r="A217" t="str">
        <x:v>TX-0216</x:v>
      </x:c>
      <x:c r="B217" s="28" t="n">
        <x:v>46130</x:v>
      </x:c>
      <x:c r="C217" t="str">
        <x:v>Khulna</x:v>
      </x:c>
      <x:c r="D217" t="str">
        <x:v>Partner</x:v>
      </x:c>
      <x:c r="E217" t="str">
        <x:v>Sneakers</x:v>
      </x:c>
      <x:c r="F217" t="str">
        <x:v>Footwear</x:v>
      </x:c>
      <x:c r="G217" t="n">
        <x:v>5</x:v>
      </x:c>
      <x:c r="H217" s="30" t="n">
        <x:v>2400</x:v>
      </x:c>
      <x:c r="I217" s="32" t="n">
        <x:v>0</x:v>
      </x:c>
      <x:c r="J217" s="30" t="n">
        <x:v>12000</x:v>
      </x:c>
      <x:c r="K217" s="30" t="n">
        <x:v>7750</x:v>
      </x:c>
      <x:c r="L217" s="30" t="n">
        <x:v>4250</x:v>
      </x:c>
    </x:row>
    <x:row r="218">
      <x:c r="A218" t="str">
        <x:v>TX-0217</x:v>
      </x:c>
      <x:c r="B218" s="28" t="n">
        <x:v>46131</x:v>
      </x:c>
      <x:c r="C218" t="str">
        <x:v>Dhaka</x:v>
      </x:c>
      <x:c r="D218" t="str">
        <x:v>Store</x:v>
      </x:c>
      <x:c r="E218" t="str">
        <x:v>Polo Shirt</x:v>
      </x:c>
      <x:c r="F218" t="str">
        <x:v>Apparel</x:v>
      </x:c>
      <x:c r="G218" t="n">
        <x:v>3</x:v>
      </x:c>
      <x:c r="H218" s="30" t="n">
        <x:v>1200</x:v>
      </x:c>
      <x:c r="I218" s="32" t="n">
        <x:v>0</x:v>
      </x:c>
      <x:c r="J218" s="30" t="n">
        <x:v>3600</x:v>
      </x:c>
      <x:c r="K218" s="30" t="n">
        <x:v>2160</x:v>
      </x:c>
      <x:c r="L218" s="30" t="n">
        <x:v>1440</x:v>
      </x:c>
    </x:row>
    <x:row r="219">
      <x:c r="A219" t="str">
        <x:v>TX-0218</x:v>
      </x:c>
      <x:c r="B219" s="28" t="n">
        <x:v>46131</x:v>
      </x:c>
      <x:c r="C219" t="str">
        <x:v>Chattogram</x:v>
      </x:c>
      <x:c r="D219" t="str">
        <x:v>Store</x:v>
      </x:c>
      <x:c r="E219" t="str">
        <x:v>Formal Shirt</x:v>
      </x:c>
      <x:c r="F219" t="str">
        <x:v>Apparel</x:v>
      </x:c>
      <x:c r="G219" t="n">
        <x:v>2</x:v>
      </x:c>
      <x:c r="H219" s="30" t="n">
        <x:v>1450</x:v>
      </x:c>
      <x:c r="I219" s="32" t="n">
        <x:v>0.1</x:v>
      </x:c>
      <x:c r="J219" s="30" t="n">
        <x:v>2610</x:v>
      </x:c>
      <x:c r="K219" s="30" t="n">
        <x:v>1760</x:v>
      </x:c>
      <x:c r="L219" s="30" t="n">
        <x:v>850</x:v>
      </x:c>
    </x:row>
    <x:row r="220">
      <x:c r="A220" t="str">
        <x:v>TX-0219</x:v>
      </x:c>
      <x:c r="B220" s="28" t="n">
        <x:v>46132</x:v>
      </x:c>
      <x:c r="C220" t="str">
        <x:v>Rajshahi</x:v>
      </x:c>
      <x:c r="D220" t="str">
        <x:v>Store</x:v>
      </x:c>
      <x:c r="E220" t="str">
        <x:v>T-Shirt</x:v>
      </x:c>
      <x:c r="F220" t="str">
        <x:v>Apparel</x:v>
      </x:c>
      <x:c r="G220" t="n">
        <x:v>1</x:v>
      </x:c>
      <x:c r="H220" s="30" t="n">
        <x:v>650</x:v>
      </x:c>
      <x:c r="I220" s="32" t="n">
        <x:v>0</x:v>
      </x:c>
      <x:c r="J220" s="30" t="n">
        <x:v>650</x:v>
      </x:c>
      <x:c r="K220" s="30" t="n">
        <x:v>360</x:v>
      </x:c>
      <x:c r="L220" s="30" t="n">
        <x:v>290</x:v>
      </x:c>
    </x:row>
    <x:row r="221">
      <x:c r="A221" t="str">
        <x:v>TX-0220</x:v>
      </x:c>
      <x:c r="B221" s="28" t="n">
        <x:v>46132</x:v>
      </x:c>
      <x:c r="C221" t="str">
        <x:v>Khulna</x:v>
      </x:c>
      <x:c r="D221" t="str">
        <x:v>Online</x:v>
      </x:c>
      <x:c r="E221" t="str">
        <x:v>Sneakers</x:v>
      </x:c>
      <x:c r="F221" t="str">
        <x:v>Footwear</x:v>
      </x:c>
      <x:c r="G221" t="n">
        <x:v>6</x:v>
      </x:c>
      <x:c r="H221" s="30" t="n">
        <x:v>2400</x:v>
      </x:c>
      <x:c r="I221" s="32" t="n">
        <x:v>0</x:v>
      </x:c>
      <x:c r="J221" s="30" t="n">
        <x:v>14400</x:v>
      </x:c>
      <x:c r="K221" s="30" t="n">
        <x:v>9300</x:v>
      </x:c>
      <x:c r="L221" s="30" t="n">
        <x:v>5100</x:v>
      </x:c>
    </x:row>
    <x:row r="222">
      <x:c r="A222" t="str">
        <x:v>TX-0221</x:v>
      </x:c>
      <x:c r="B222" s="28" t="n">
        <x:v>46133</x:v>
      </x:c>
      <x:c r="C222" t="str">
        <x:v>Dhaka</x:v>
      </x:c>
      <x:c r="D222" t="str">
        <x:v>Online</x:v>
      </x:c>
      <x:c r="E222" t="str">
        <x:v>Formal Shirt</x:v>
      </x:c>
      <x:c r="F222" t="str">
        <x:v>Apparel</x:v>
      </x:c>
      <x:c r="G222" t="n">
        <x:v>6</x:v>
      </x:c>
      <x:c r="H222" s="30" t="n">
        <x:v>1450</x:v>
      </x:c>
      <x:c r="I222" s="32" t="n">
        <x:v>0</x:v>
      </x:c>
      <x:c r="J222" s="30" t="n">
        <x:v>8700</x:v>
      </x:c>
      <x:c r="K222" s="30" t="n">
        <x:v>5280</x:v>
      </x:c>
      <x:c r="L222" s="30" t="n">
        <x:v>3420</x:v>
      </x:c>
    </x:row>
    <x:row r="223">
      <x:c r="A223" t="str">
        <x:v>TX-0222</x:v>
      </x:c>
      <x:c r="B223" s="28" t="n">
        <x:v>46133</x:v>
      </x:c>
      <x:c r="C223" t="str">
        <x:v>Chattogram</x:v>
      </x:c>
      <x:c r="D223" t="str">
        <x:v>Online</x:v>
      </x:c>
      <x:c r="E223" t="str">
        <x:v>Formal Shirt</x:v>
      </x:c>
      <x:c r="F223" t="str">
        <x:v>Apparel</x:v>
      </x:c>
      <x:c r="G223" t="n">
        <x:v>6</x:v>
      </x:c>
      <x:c r="H223" s="30" t="n">
        <x:v>1450</x:v>
      </x:c>
      <x:c r="I223" s="32" t="n">
        <x:v>0.15</x:v>
      </x:c>
      <x:c r="J223" s="30" t="n">
        <x:v>7395</x:v>
      </x:c>
      <x:c r="K223" s="30" t="n">
        <x:v>5280</x:v>
      </x:c>
      <x:c r="L223" s="30" t="n">
        <x:v>2115</x:v>
      </x:c>
    </x:row>
    <x:row r="224">
      <x:c r="A224" t="str">
        <x:v>TX-0223</x:v>
      </x:c>
      <x:c r="B224" s="28" t="n">
        <x:v>46134</x:v>
      </x:c>
      <x:c r="C224" t="str">
        <x:v>Rajshahi</x:v>
      </x:c>
      <x:c r="D224" t="str">
        <x:v>Partner</x:v>
      </x:c>
      <x:c r="E224" t="str">
        <x:v>Sneakers</x:v>
      </x:c>
      <x:c r="F224" t="str">
        <x:v>Footwear</x:v>
      </x:c>
      <x:c r="G224" t="n">
        <x:v>5</x:v>
      </x:c>
      <x:c r="H224" s="30" t="n">
        <x:v>2400</x:v>
      </x:c>
      <x:c r="I224" s="32" t="n">
        <x:v>0.15</x:v>
      </x:c>
      <x:c r="J224" s="30" t="n">
        <x:v>10200</x:v>
      </x:c>
      <x:c r="K224" s="30" t="n">
        <x:v>7750</x:v>
      </x:c>
      <x:c r="L224" s="30" t="n">
        <x:v>2450</x:v>
      </x:c>
    </x:row>
    <x:row r="225">
      <x:c r="A225" t="str">
        <x:v>TX-0224</x:v>
      </x:c>
      <x:c r="B225" s="28" t="n">
        <x:v>46134</x:v>
      </x:c>
      <x:c r="C225" t="str">
        <x:v>Khulna</x:v>
      </x:c>
      <x:c r="D225" t="str">
        <x:v>Partner</x:v>
      </x:c>
      <x:c r="E225" t="str">
        <x:v>Polo Shirt</x:v>
      </x:c>
      <x:c r="F225" t="str">
        <x:v>Apparel</x:v>
      </x:c>
      <x:c r="G225" t="n">
        <x:v>5</x:v>
      </x:c>
      <x:c r="H225" s="30" t="n">
        <x:v>1200</x:v>
      </x:c>
      <x:c r="I225" s="32" t="n">
        <x:v>0.1</x:v>
      </x:c>
      <x:c r="J225" s="30" t="n">
        <x:v>5400</x:v>
      </x:c>
      <x:c r="K225" s="30" t="n">
        <x:v>3600</x:v>
      </x:c>
      <x:c r="L225" s="30" t="n">
        <x:v>1800</x:v>
      </x:c>
    </x:row>
    <x:row r="226">
      <x:c r="A226" t="str">
        <x:v>TX-0225</x:v>
      </x:c>
      <x:c r="B226" s="28" t="n">
        <x:v>46135</x:v>
      </x:c>
      <x:c r="C226" t="str">
        <x:v>Dhaka</x:v>
      </x:c>
      <x:c r="D226" t="str">
        <x:v>Partner</x:v>
      </x:c>
      <x:c r="E226" t="str">
        <x:v>Notebook Set</x:v>
      </x:c>
      <x:c r="F226" t="str">
        <x:v>Stationery</x:v>
      </x:c>
      <x:c r="G226" t="n">
        <x:v>4</x:v>
      </x:c>
      <x:c r="H226" s="30" t="n">
        <x:v>320</x:v>
      </x:c>
      <x:c r="I226" s="32" t="n">
        <x:v>0.1</x:v>
      </x:c>
      <x:c r="J226" s="30" t="n">
        <x:v>1152</x:v>
      </x:c>
      <x:c r="K226" s="30" t="n">
        <x:v>680</x:v>
      </x:c>
      <x:c r="L226" s="30" t="n">
        <x:v>472</x:v>
      </x:c>
    </x:row>
    <x:row r="227">
      <x:c r="A227" t="str">
        <x:v>TX-0226</x:v>
      </x:c>
      <x:c r="B227" s="28" t="n">
        <x:v>46135</x:v>
      </x:c>
      <x:c r="C227" t="str">
        <x:v>Chattogram</x:v>
      </x:c>
      <x:c r="D227" t="str">
        <x:v>Store</x:v>
      </x:c>
      <x:c r="E227" t="str">
        <x:v>Polo Shirt</x:v>
      </x:c>
      <x:c r="F227" t="str">
        <x:v>Apparel</x:v>
      </x:c>
      <x:c r="G227" t="n">
        <x:v>1</x:v>
      </x:c>
      <x:c r="H227" s="30" t="n">
        <x:v>1200</x:v>
      </x:c>
      <x:c r="I227" s="32" t="n">
        <x:v>0.1</x:v>
      </x:c>
      <x:c r="J227" s="30" t="n">
        <x:v>1080</x:v>
      </x:c>
      <x:c r="K227" s="30" t="n">
        <x:v>720</x:v>
      </x:c>
      <x:c r="L227" s="30" t="n">
        <x:v>360</x:v>
      </x:c>
    </x:row>
    <x:row r="228">
      <x:c r="A228" t="str">
        <x:v>TX-0227</x:v>
      </x:c>
      <x:c r="B228" s="28" t="n">
        <x:v>46136</x:v>
      </x:c>
      <x:c r="C228" t="str">
        <x:v>Rajshahi</x:v>
      </x:c>
      <x:c r="D228" t="str">
        <x:v>Store</x:v>
      </x:c>
      <x:c r="E228" t="str">
        <x:v>Backpack</x:v>
      </x:c>
      <x:c r="F228" t="str">
        <x:v>Accessories</x:v>
      </x:c>
      <x:c r="G228" t="n">
        <x:v>8</x:v>
      </x:c>
      <x:c r="H228" s="30" t="n">
        <x:v>1800</x:v>
      </x:c>
      <x:c r="I228" s="32" t="n">
        <x:v>0.1</x:v>
      </x:c>
      <x:c r="J228" s="30" t="n">
        <x:v>12960</x:v>
      </x:c>
      <x:c r="K228" s="30" t="n">
        <x:v>8960</x:v>
      </x:c>
      <x:c r="L228" s="30" t="n">
        <x:v>4000</x:v>
      </x:c>
    </x:row>
    <x:row r="229">
      <x:c r="A229" t="str">
        <x:v>TX-0228</x:v>
      </x:c>
      <x:c r="B229" s="28" t="n">
        <x:v>46136</x:v>
      </x:c>
      <x:c r="C229" t="str">
        <x:v>Khulna</x:v>
      </x:c>
      <x:c r="D229" t="str">
        <x:v>Store</x:v>
      </x:c>
      <x:c r="E229" t="str">
        <x:v>Backpack</x:v>
      </x:c>
      <x:c r="F229" t="str">
        <x:v>Accessories</x:v>
      </x:c>
      <x:c r="G229" t="n">
        <x:v>1</x:v>
      </x:c>
      <x:c r="H229" s="30" t="n">
        <x:v>1800</x:v>
      </x:c>
      <x:c r="I229" s="32" t="n">
        <x:v>0.15</x:v>
      </x:c>
      <x:c r="J229" s="30" t="n">
        <x:v>1530</x:v>
      </x:c>
      <x:c r="K229" s="30" t="n">
        <x:v>1120</x:v>
      </x:c>
      <x:c r="L229" s="30" t="n">
        <x:v>410</x:v>
      </x:c>
    </x:row>
    <x:row r="230">
      <x:c r="A230" t="str">
        <x:v>TX-0229</x:v>
      </x:c>
      <x:c r="B230" s="28" t="n">
        <x:v>46137</x:v>
      </x:c>
      <x:c r="C230" t="str">
        <x:v>Dhaka</x:v>
      </x:c>
      <x:c r="D230" t="str">
        <x:v>Online</x:v>
      </x:c>
      <x:c r="E230" t="str">
        <x:v>Formal Shirt</x:v>
      </x:c>
      <x:c r="F230" t="str">
        <x:v>Apparel</x:v>
      </x:c>
      <x:c r="G230" t="n">
        <x:v>8</x:v>
      </x:c>
      <x:c r="H230" s="30" t="n">
        <x:v>1450</x:v>
      </x:c>
      <x:c r="I230" s="32" t="n">
        <x:v>0.1</x:v>
      </x:c>
      <x:c r="J230" s="30" t="n">
        <x:v>10440</x:v>
      </x:c>
      <x:c r="K230" s="30" t="n">
        <x:v>7040</x:v>
      </x:c>
      <x:c r="L230" s="30" t="n">
        <x:v>3400</x:v>
      </x:c>
    </x:row>
    <x:row r="231">
      <x:c r="A231" t="str">
        <x:v>TX-0230</x:v>
      </x:c>
      <x:c r="B231" s="28" t="n">
        <x:v>46137</x:v>
      </x:c>
      <x:c r="C231" t="str">
        <x:v>Chattogram</x:v>
      </x:c>
      <x:c r="D231" t="str">
        <x:v>Online</x:v>
      </x:c>
      <x:c r="E231" t="str">
        <x:v>Formal Shirt</x:v>
      </x:c>
      <x:c r="F231" t="str">
        <x:v>Apparel</x:v>
      </x:c>
      <x:c r="G231" t="n">
        <x:v>6</x:v>
      </x:c>
      <x:c r="H231" s="30" t="n">
        <x:v>1450</x:v>
      </x:c>
      <x:c r="I231" s="32" t="n">
        <x:v>0.15</x:v>
      </x:c>
      <x:c r="J231" s="30" t="n">
        <x:v>7395</x:v>
      </x:c>
      <x:c r="K231" s="30" t="n">
        <x:v>5280</x:v>
      </x:c>
      <x:c r="L231" s="30" t="n">
        <x:v>2115</x:v>
      </x:c>
    </x:row>
    <x:row r="232">
      <x:c r="A232" t="str">
        <x:v>TX-0231</x:v>
      </x:c>
      <x:c r="B232" s="28" t="n">
        <x:v>46138</x:v>
      </x:c>
      <x:c r="C232" t="str">
        <x:v>Rajshahi</x:v>
      </x:c>
      <x:c r="D232" t="str">
        <x:v>Online</x:v>
      </x:c>
      <x:c r="E232" t="str">
        <x:v>Polo Shirt</x:v>
      </x:c>
      <x:c r="F232" t="str">
        <x:v>Apparel</x:v>
      </x:c>
      <x:c r="G232" t="n">
        <x:v>3</x:v>
      </x:c>
      <x:c r="H232" s="30" t="n">
        <x:v>1200</x:v>
      </x:c>
      <x:c r="I232" s="32" t="n">
        <x:v>0.1</x:v>
      </x:c>
      <x:c r="J232" s="30" t="n">
        <x:v>3240</x:v>
      </x:c>
      <x:c r="K232" s="30" t="n">
        <x:v>2160</x:v>
      </x:c>
      <x:c r="L232" s="30" t="n">
        <x:v>1080</x:v>
      </x:c>
    </x:row>
    <x:row r="233">
      <x:c r="A233" t="str">
        <x:v>TX-0232</x:v>
      </x:c>
      <x:c r="B233" s="28" t="n">
        <x:v>46138</x:v>
      </x:c>
      <x:c r="C233" t="str">
        <x:v>Khulna</x:v>
      </x:c>
      <x:c r="D233" t="str">
        <x:v>Partner</x:v>
      </x:c>
      <x:c r="E233" t="str">
        <x:v>Formal Shirt</x:v>
      </x:c>
      <x:c r="F233" t="str">
        <x:v>Apparel</x:v>
      </x:c>
      <x:c r="G233" t="n">
        <x:v>4</x:v>
      </x:c>
      <x:c r="H233" s="30" t="n">
        <x:v>1450</x:v>
      </x:c>
      <x:c r="I233" s="32" t="n">
        <x:v>0</x:v>
      </x:c>
      <x:c r="J233" s="30" t="n">
        <x:v>5800</x:v>
      </x:c>
      <x:c r="K233" s="30" t="n">
        <x:v>3520</x:v>
      </x:c>
      <x:c r="L233" s="30" t="n">
        <x:v>2280</x:v>
      </x:c>
    </x:row>
    <x:row r="234">
      <x:c r="A234" t="str">
        <x:v>TX-0233</x:v>
      </x:c>
      <x:c r="B234" s="28" t="n">
        <x:v>46139</x:v>
      </x:c>
      <x:c r="C234" t="str">
        <x:v>Dhaka</x:v>
      </x:c>
      <x:c r="D234" t="str">
        <x:v>Partner</x:v>
      </x:c>
      <x:c r="E234" t="str">
        <x:v>Sneakers</x:v>
      </x:c>
      <x:c r="F234" t="str">
        <x:v>Footwear</x:v>
      </x:c>
      <x:c r="G234" t="n">
        <x:v>5</x:v>
      </x:c>
      <x:c r="H234" s="30" t="n">
        <x:v>2400</x:v>
      </x:c>
      <x:c r="I234" s="32" t="n">
        <x:v>0.1</x:v>
      </x:c>
      <x:c r="J234" s="30" t="n">
        <x:v>10800</x:v>
      </x:c>
      <x:c r="K234" s="30" t="n">
        <x:v>7750</x:v>
      </x:c>
      <x:c r="L234" s="30" t="n">
        <x:v>3050</x:v>
      </x:c>
    </x:row>
    <x:row r="235">
      <x:c r="A235" t="str">
        <x:v>TX-0234</x:v>
      </x:c>
      <x:c r="B235" s="28" t="n">
        <x:v>46139</x:v>
      </x:c>
      <x:c r="C235" t="str">
        <x:v>Chattogram</x:v>
      </x:c>
      <x:c r="D235" t="str">
        <x:v>Partner</x:v>
      </x:c>
      <x:c r="E235" t="str">
        <x:v>Backpack</x:v>
      </x:c>
      <x:c r="F235" t="str">
        <x:v>Accessories</x:v>
      </x:c>
      <x:c r="G235" t="n">
        <x:v>2</x:v>
      </x:c>
      <x:c r="H235" s="30" t="n">
        <x:v>1800</x:v>
      </x:c>
      <x:c r="I235" s="32" t="n">
        <x:v>0.05</x:v>
      </x:c>
      <x:c r="J235" s="30" t="n">
        <x:v>3420</x:v>
      </x:c>
      <x:c r="K235" s="30" t="n">
        <x:v>2240</x:v>
      </x:c>
      <x:c r="L235" s="30" t="n">
        <x:v>1180</x:v>
      </x:c>
    </x:row>
    <x:row r="236">
      <x:c r="A236" t="str">
        <x:v>TX-0235</x:v>
      </x:c>
      <x:c r="B236" s="28" t="n">
        <x:v>46140</x:v>
      </x:c>
      <x:c r="C236" t="str">
        <x:v>Rajshahi</x:v>
      </x:c>
      <x:c r="D236" t="str">
        <x:v>Store</x:v>
      </x:c>
      <x:c r="E236" t="str">
        <x:v>T-Shirt</x:v>
      </x:c>
      <x:c r="F236" t="str">
        <x:v>Apparel</x:v>
      </x:c>
      <x:c r="G236" t="n">
        <x:v>3</x:v>
      </x:c>
      <x:c r="H236" s="30" t="n">
        <x:v>650</x:v>
      </x:c>
      <x:c r="I236" s="32" t="n">
        <x:v>0</x:v>
      </x:c>
      <x:c r="J236" s="30" t="n">
        <x:v>1950</x:v>
      </x:c>
      <x:c r="K236" s="30" t="n">
        <x:v>1080</x:v>
      </x:c>
      <x:c r="L236" s="30" t="n">
        <x:v>870</x:v>
      </x:c>
    </x:row>
    <x:row r="237">
      <x:c r="A237" t="str">
        <x:v>TX-0236</x:v>
      </x:c>
      <x:c r="B237" s="28" t="n">
        <x:v>46140</x:v>
      </x:c>
      <x:c r="C237" t="str">
        <x:v>Khulna</x:v>
      </x:c>
      <x:c r="D237" t="str">
        <x:v>Store</x:v>
      </x:c>
      <x:c r="E237" t="str">
        <x:v>Polo Shirt</x:v>
      </x:c>
      <x:c r="F237" t="str">
        <x:v>Apparel</x:v>
      </x:c>
      <x:c r="G237" t="n">
        <x:v>6</x:v>
      </x:c>
      <x:c r="H237" s="30" t="n">
        <x:v>1200</x:v>
      </x:c>
      <x:c r="I237" s="32" t="n">
        <x:v>0</x:v>
      </x:c>
      <x:c r="J237" s="30" t="n">
        <x:v>7200</x:v>
      </x:c>
      <x:c r="K237" s="30" t="n">
        <x:v>4320</x:v>
      </x:c>
      <x:c r="L237" s="30" t="n">
        <x:v>2880</x:v>
      </x:c>
    </x:row>
    <x:row r="238">
      <x:c r="A238" t="str">
        <x:v>TX-0237</x:v>
      </x:c>
      <x:c r="B238" s="28" t="n">
        <x:v>46141</x:v>
      </x:c>
      <x:c r="C238" t="str">
        <x:v>Dhaka</x:v>
      </x:c>
      <x:c r="D238" t="str">
        <x:v>Store</x:v>
      </x:c>
      <x:c r="E238" t="str">
        <x:v>Notebook Set</x:v>
      </x:c>
      <x:c r="F238" t="str">
        <x:v>Stationery</x:v>
      </x:c>
      <x:c r="G238" t="n">
        <x:v>1</x:v>
      </x:c>
      <x:c r="H238" s="30" t="n">
        <x:v>320</x:v>
      </x:c>
      <x:c r="I238" s="32" t="n">
        <x:v>0.1</x:v>
      </x:c>
      <x:c r="J238" s="30" t="n">
        <x:v>288</x:v>
      </x:c>
      <x:c r="K238" s="30" t="n">
        <x:v>170</x:v>
      </x:c>
      <x:c r="L238" s="30" t="n">
        <x:v>118</x:v>
      </x:c>
    </x:row>
    <x:row r="239">
      <x:c r="A239" t="str">
        <x:v>TX-0238</x:v>
      </x:c>
      <x:c r="B239" s="28" t="n">
        <x:v>46141</x:v>
      </x:c>
      <x:c r="C239" t="str">
        <x:v>Chattogram</x:v>
      </x:c>
      <x:c r="D239" t="str">
        <x:v>Online</x:v>
      </x:c>
      <x:c r="E239" t="str">
        <x:v>Backpack</x:v>
      </x:c>
      <x:c r="F239" t="str">
        <x:v>Accessories</x:v>
      </x:c>
      <x:c r="G239" t="n">
        <x:v>6</x:v>
      </x:c>
      <x:c r="H239" s="30" t="n">
        <x:v>1800</x:v>
      </x:c>
      <x:c r="I239" s="32" t="n">
        <x:v>0.05</x:v>
      </x:c>
      <x:c r="J239" s="30" t="n">
        <x:v>10260</x:v>
      </x:c>
      <x:c r="K239" s="30" t="n">
        <x:v>6720</x:v>
      </x:c>
      <x:c r="L239" s="30" t="n">
        <x:v>3540</x:v>
      </x:c>
    </x:row>
    <x:row r="240">
      <x:c r="A240" t="str">
        <x:v>TX-0239</x:v>
      </x:c>
      <x:c r="B240" s="28" t="n">
        <x:v>46142</x:v>
      </x:c>
      <x:c r="C240" t="str">
        <x:v>Rajshahi</x:v>
      </x:c>
      <x:c r="D240" t="str">
        <x:v>Online</x:v>
      </x:c>
      <x:c r="E240" t="str">
        <x:v>Notebook Set</x:v>
      </x:c>
      <x:c r="F240" t="str">
        <x:v>Stationery</x:v>
      </x:c>
      <x:c r="G240" t="n">
        <x:v>6</x:v>
      </x:c>
      <x:c r="H240" s="30" t="n">
        <x:v>320</x:v>
      </x:c>
      <x:c r="I240" s="32" t="n">
        <x:v>0</x:v>
      </x:c>
      <x:c r="J240" s="30" t="n">
        <x:v>1920</x:v>
      </x:c>
      <x:c r="K240" s="30" t="n">
        <x:v>1020</x:v>
      </x:c>
      <x:c r="L240" s="30" t="n">
        <x:v>900</x:v>
      </x:c>
    </x:row>
    <x:row r="241">
      <x:c r="A241" t="str">
        <x:v>TX-0240</x:v>
      </x:c>
      <x:c r="B241" s="28" t="n">
        <x:v>46142</x:v>
      </x:c>
      <x:c r="C241" t="str">
        <x:v>Khulna</x:v>
      </x:c>
      <x:c r="D241" t="str">
        <x:v>Online</x:v>
      </x:c>
      <x:c r="E241" t="str">
        <x:v>Polo Shirt</x:v>
      </x:c>
      <x:c r="F241" t="str">
        <x:v>Apparel</x:v>
      </x:c>
      <x:c r="G241" t="n">
        <x:v>5</x:v>
      </x:c>
      <x:c r="H241" s="30" t="n">
        <x:v>1200</x:v>
      </x:c>
      <x:c r="I241" s="32" t="n">
        <x:v>0.05</x:v>
      </x:c>
      <x:c r="J241" s="30" t="n">
        <x:v>5700</x:v>
      </x:c>
      <x:c r="K241" s="30" t="n">
        <x:v>3600</x:v>
      </x:c>
      <x:c r="L241" s="30" t="n">
        <x:v>2100</x:v>
      </x:c>
    </x:row>
  </x:sheetData>
  <x:conditionalFormatting sqref="L2:L241">
    <x:cfRule type="colorScale" priority="1">
      <x:colorScale>
        <x:cfvo type="min"/>
        <x:cfvo type="percentile" val="50"/>
        <x:cfvo type="max"/>
        <x:color rgb="FFF8CBAD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9acf9aa01f543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3" t="str">
        <x:v>Product</x:v>
      </x:c>
      <x:c r="B1" s="23" t="str">
        <x:v>Category</x:v>
      </x:c>
      <x:c r="C1" s="23" t="str">
        <x:v>Standard Unit Price (BDT)</x:v>
      </x:c>
      <x:c r="E1" s="23" t="str">
        <x:v>Region</x:v>
      </x:c>
      <x:c r="F1" s="23" t="str">
        <x:v>Target Revenue (BDT)</x:v>
      </x:c>
    </x:row>
    <x:row r="2">
      <x:c r="A2" t="str">
        <x:v>T-Shirt</x:v>
      </x:c>
      <x:c r="B2" t="str">
        <x:v>Apparel</x:v>
      </x:c>
      <x:c r="C2" s="30" t="n">
        <x:v>650</x:v>
      </x:c>
      <x:c r="E2" t="str">
        <x:v>Dhaka</x:v>
      </x:c>
      <x:c r="F2" s="30" t="n">
        <x:v>350000</x:v>
      </x:c>
    </x:row>
    <x:row r="3">
      <x:c r="A3" t="str">
        <x:v>Polo Shirt</x:v>
      </x:c>
      <x:c r="B3" t="str">
        <x:v>Apparel</x:v>
      </x:c>
      <x:c r="C3" s="30" t="n">
        <x:v>950</x:v>
      </x:c>
      <x:c r="E3" t="str">
        <x:v>Chattogram</x:v>
      </x:c>
      <x:c r="F3" s="30" t="n">
        <x:v>260000</x:v>
      </x:c>
    </x:row>
    <x:row r="4">
      <x:c r="A4" t="str">
        <x:v>Jeans</x:v>
      </x:c>
      <x:c r="B4" t="str">
        <x:v>Apparel</x:v>
      </x:c>
      <x:c r="C4" s="30" t="n">
        <x:v>1450</x:v>
      </x:c>
      <x:c r="E4" t="str">
        <x:v>Rajshahi</x:v>
      </x:c>
      <x:c r="F4" s="30" t="n">
        <x:v>180000</x:v>
      </x:c>
    </x:row>
    <x:row r="5">
      <x:c r="A5" t="str">
        <x:v>Notebook</x:v>
      </x:c>
      <x:c r="B5" t="str">
        <x:v>Stationery</x:v>
      </x:c>
      <x:c r="C5" s="30" t="n">
        <x:v>120</x:v>
      </x:c>
      <x:c r="E5" t="str">
        <x:v>Khulna</x:v>
      </x:c>
      <x:c r="F5" s="30" t="n">
        <x:v>160000</x:v>
      </x:c>
    </x:row>
    <x:row r="6">
      <x:c r="A6" t="str">
        <x:v>Pen Pack</x:v>
      </x:c>
      <x:c r="B6" t="str">
        <x:v>Stationery</x:v>
      </x:c>
      <x:c r="C6" s="30" t="n">
        <x:v>180</x:v>
      </x:c>
    </x:row>
    <x:row r="7">
      <x:c r="A7" t="str">
        <x:v>Backpack</x:v>
      </x:c>
      <x:c r="B7" t="str">
        <x:v>Accessories</x:v>
      </x:c>
      <x:c r="C7" s="30" t="n">
        <x:v>1200</x:v>
      </x:c>
    </x:row>
  </x:sheetData>
  <x:pageMargins left="0.7" right="0.7" top="0.75" bottom="0.75" header="0.3" footer="0.3"/>
  <x:tableParts count="2">
    <x:tablePart xmlns:r="http://schemas.openxmlformats.org/officeDocument/2006/relationships" r:id="R62b314c17e3d40de"/>
    <x:tablePart xmlns:r="http://schemas.openxmlformats.org/officeDocument/2006/relationships" r:id="R767661b29b9b4f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4" t="str">
        <x:v>Formula Practice — complete or inspect the formulas, then explain the result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34" t="str">
        <x:v>Date</x:v>
      </x:c>
      <x:c r="B4" s="34" t="str">
        <x:v>Region</x:v>
      </x:c>
      <x:c r="C4" s="34" t="str">
        <x:v>Product</x:v>
      </x:c>
      <x:c r="D4" s="34" t="str">
        <x:v>Quantity</x:v>
      </x:c>
      <x:c r="E4" s="34" t="str">
        <x:v>Unit Price</x:v>
      </x:c>
      <x:c r="F4" s="34" t="str">
        <x:v>Gross Sales</x:v>
      </x:c>
      <x:c r="G4" s="34" t="str">
        <x:v>Target Met?</x:v>
      </x:c>
      <x:c r="H4" s="34" t="str">
        <x:v>Notes</x:v>
      </x:c>
    </x:row>
    <x:row r="5">
      <x:c r="A5" s="35" t="n">
        <x:v>46204</x:v>
      </x:c>
      <x:c r="B5" s="15" t="str">
        <x:v>Dhaka</x:v>
      </x:c>
      <x:c r="C5" s="15" t="str">
        <x:v>T-Shirt</x:v>
      </x:c>
      <x:c r="D5" s="15" t="n">
        <x:v>12</x:v>
      </x:c>
      <x:c r="E5" s="36" t="n">
        <x:v>650</x:v>
      </x:c>
      <x:c r="F5" s="36" t="n">
        <x:f>D5*E5</x:f>
        <x:v>7800</x:v>
      </x:c>
      <x:c r="G5" s="15" t="str">
        <x:f>IF(F5&gt;=6000,"Yes","No")</x:f>
        <x:v>Yes</x:v>
      </x:c>
      <x:c r="H5" s="15"/>
    </x:row>
    <x:row r="6">
      <x:c r="A6" s="35" t="n">
        <x:v>46205</x:v>
      </x:c>
      <x:c r="B6" s="15" t="str">
        <x:v>Dhaka</x:v>
      </x:c>
      <x:c r="C6" s="15" t="str">
        <x:v>Polo Shirt</x:v>
      </x:c>
      <x:c r="D6" s="15" t="n">
        <x:v>8</x:v>
      </x:c>
      <x:c r="E6" s="36" t="n">
        <x:v>950</x:v>
      </x:c>
      <x:c r="F6" s="36" t="n">
        <x:f>D6*E6</x:f>
        <x:v>7600</x:v>
      </x:c>
      <x:c r="G6" s="15" t="str">
        <x:f>IF(F6&gt;=6000,"Yes","No")</x:f>
        <x:v>Yes</x:v>
      </x:c>
      <x:c r="H6" s="15"/>
    </x:row>
    <x:row r="7">
      <x:c r="A7" s="35" t="n">
        <x:v>46206</x:v>
      </x:c>
      <x:c r="B7" s="15" t="str">
        <x:v>Chattogram</x:v>
      </x:c>
      <x:c r="C7" s="15" t="str">
        <x:v>Jeans</x:v>
      </x:c>
      <x:c r="D7" s="15" t="n">
        <x:v>5</x:v>
      </x:c>
      <x:c r="E7" s="36" t="n">
        <x:v>1450</x:v>
      </x:c>
      <x:c r="F7" s="36" t="n">
        <x:f>D7*E7</x:f>
        <x:v>7250</x:v>
      </x:c>
      <x:c r="G7" s="15" t="str">
        <x:f>IF(F7&gt;=6000,"Yes","No")</x:f>
        <x:v>Yes</x:v>
      </x:c>
      <x:c r="H7" s="15"/>
    </x:row>
    <x:row r="8">
      <x:c r="A8" s="35" t="n">
        <x:v>46207</x:v>
      </x:c>
      <x:c r="B8" s="15" t="str">
        <x:v>Rajshahi</x:v>
      </x:c>
      <x:c r="C8" s="15" t="str">
        <x:v>Notebook</x:v>
      </x:c>
      <x:c r="D8" s="15" t="n">
        <x:v>40</x:v>
      </x:c>
      <x:c r="E8" s="36" t="n">
        <x:v>120</x:v>
      </x:c>
      <x:c r="F8" s="36" t="n">
        <x:f>D8*E8</x:f>
        <x:v>4800</x:v>
      </x:c>
      <x:c r="G8" s="15" t="str">
        <x:f>IF(F8&gt;=6000,"Yes","No")</x:f>
        <x:v>No</x:v>
      </x:c>
      <x:c r="H8" s="15"/>
    </x:row>
    <x:row r="9">
      <x:c r="A9" s="35" t="n">
        <x:v>46208</x:v>
      </x:c>
      <x:c r="B9" s="15" t="str">
        <x:v>Khulna</x:v>
      </x:c>
      <x:c r="C9" s="15" t="str">
        <x:v>Backpack</x:v>
      </x:c>
      <x:c r="D9" s="15" t="n">
        <x:v>4</x:v>
      </x:c>
      <x:c r="E9" s="36" t="n">
        <x:v>1200</x:v>
      </x:c>
      <x:c r="F9" s="36" t="n">
        <x:f>D9*E9</x:f>
        <x:v>4800</x:v>
      </x:c>
      <x:c r="G9" s="15" t="str">
        <x:f>IF(F9&gt;=6000,"Yes","No")</x:f>
        <x:v>No</x:v>
      </x:c>
      <x:c r="H9" s="15"/>
    </x:row>
    <x:row r="10">
      <x:c r="A10" s="35" t="n">
        <x:v>46209</x:v>
      </x:c>
      <x:c r="B10" s="15" t="str">
        <x:v>Chattogram</x:v>
      </x:c>
      <x:c r="C10" s="15" t="str">
        <x:v>Pen Pack</x:v>
      </x:c>
      <x:c r="D10" s="15" t="n">
        <x:v>25</x:v>
      </x:c>
      <x:c r="E10" s="36" t="n">
        <x:v>180</x:v>
      </x:c>
      <x:c r="F10" s="36" t="n">
        <x:f>D10*E10</x:f>
        <x:v>4500</x:v>
      </x:c>
      <x:c r="G10" s="15" t="str">
        <x:f>IF(F10&gt;=6000,"Yes","No")</x:f>
        <x:v>No</x:v>
      </x:c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34" t="str">
        <x:v>Metric</x:v>
      </x:c>
      <x:c r="B13" s="34" t="str">
        <x:v>Formula / result</x:v>
      </x:c>
      <x:c r="C13" s="15"/>
      <x:c r="D13" s="15"/>
      <x:c r="E13" s="15"/>
      <x:c r="F13" s="15"/>
      <x:c r="G13" s="15"/>
      <x:c r="H13" s="15"/>
    </x:row>
    <x:row r="14">
      <x:c r="A14" s="15" t="str">
        <x:v>Total sales</x:v>
      </x:c>
      <x:c r="B14" s="36" t="n">
        <x:f>SUM(F5:F10)</x:f>
        <x:v>36750</x:v>
      </x:c>
      <x:c r="C14" s="15"/>
      <x:c r="D14" s="15"/>
      <x:c r="E14" s="15"/>
      <x:c r="F14" s="15"/>
      <x:c r="G14" s="15"/>
      <x:c r="H14" s="15"/>
    </x:row>
    <x:row r="15">
      <x:c r="A15" s="15" t="str">
        <x:v>Average sale</x:v>
      </x:c>
      <x:c r="B15" s="36" t="n">
        <x:f>AVERAGE(F5:F10)</x:f>
        <x:v>6125</x:v>
      </x:c>
      <x:c r="C15" s="15"/>
      <x:c r="D15" s="15"/>
      <x:c r="E15" s="15"/>
      <x:c r="F15" s="15"/>
      <x:c r="G15" s="15"/>
      <x:c r="H15" s="15"/>
    </x:row>
    <x:row r="16">
      <x:c r="A16" s="15" t="str">
        <x:v>Highest sale</x:v>
      </x:c>
      <x:c r="B16" s="36" t="n">
        <x:f>MAX(F5:F10)</x:f>
        <x:v>7800</x:v>
      </x:c>
      <x:c r="C16" s="15"/>
      <x:c r="D16" s="15"/>
      <x:c r="E16" s="15"/>
      <x:c r="F16" s="15"/>
      <x:c r="G16" s="15"/>
      <x:c r="H16" s="15"/>
    </x:row>
    <x:row r="17">
      <x:c r="A17" s="15" t="str">
        <x:v>Count of target-met rows</x:v>
      </x:c>
      <x:c r="B17" s="15" t="n">
        <x:f>COUNTIF(G5:G10,"Yes")</x:f>
        <x:v>3</x:v>
      </x:c>
      <x:c r="C17" s="15"/>
      <x:c r="D17" s="15"/>
      <x:c r="E17" s="15"/>
      <x:c r="F17" s="15"/>
      <x:c r="G17" s="15"/>
      <x:c r="H17" s="15"/>
    </x:row>
    <x:row r="18">
      <x:c r="A18" s="15" t="str">
        <x:v>Dhaka sales</x:v>
      </x:c>
      <x:c r="B18" s="36" t="n">
        <x:f>SUMIF(B5:B10,"Dhaka",F5:F10)</x:f>
        <x:v>15400</x:v>
      </x:c>
      <x:c r="C18" s="15"/>
      <x:c r="D18" s="15"/>
      <x:c r="E18" s="15"/>
      <x:c r="F18" s="15"/>
      <x:c r="G18" s="15"/>
      <x:c r="H18" s="15"/>
    </x:row>
    <x:row r="19">
      <x:c r="A19" s="15" t="str">
        <x:v>T-Shirt quantity</x:v>
      </x:c>
      <x:c r="B19" s="36" t="n">
        <x:f>SUMIF(C5:C10,"T-Shirt",D5:D10)</x:f>
        <x:v>12</x:v>
      </x:c>
      <x:c r="C19" s="15"/>
      <x:c r="D19" s="15"/>
      <x:c r="E19" s="15"/>
      <x:c r="F19" s="15"/>
      <x:c r="G19" s="15"/>
      <x:c r="H19" s="15"/>
    </x:row>
    <x:row r="20">
      <x:c r="A20" s="15" t="str">
        <x:v>Rounded average</x:v>
      </x:c>
      <x:c r="B20" s="36" t="n">
        <x:f>ROUND(AVERAGE(F5:F10),0)</x:f>
        <x:v>6125</x:v>
      </x:c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6" t="str">
        <x:v>Challenge</x:v>
      </x:c>
      <x:c r="B22" s="16" t="str">
        <x:v>Instruction</x:v>
      </x:c>
      <x:c r="C22" s="16"/>
      <x:c r="D22" s="16"/>
      <x:c r="E22" s="16"/>
      <x:c r="F22" s="16"/>
      <x:c r="G22" s="16"/>
      <x:c r="H22" s="16"/>
    </x:row>
    <x:row r="23">
      <x:c r="A23" s="15" t="str">
        <x:v>Absolute reference</x:v>
      </x:c>
      <x:c r="B23" s="15" t="str">
        <x:v>Put a tax rate in J5 and calculate after-tax sales using an absolute reference.</x:v>
      </x:c>
      <x:c r="C23" s="15"/>
      <x:c r="D23" s="15"/>
      <x:c r="E23" s="15"/>
      <x:c r="F23" s="15"/>
      <x:c r="G23" s="15"/>
      <x:c r="H23" s="15"/>
    </x:row>
    <x:row r="24">
      <x:c r="A24" s="15" t="str">
        <x:v>Conditional aggregation</x:v>
      </x:c>
      <x:c r="B24" s="15" t="str">
        <x:v>Calculate total sales for Chattogram where Product is Jeans.</x:v>
      </x:c>
      <x:c r="C24" s="15"/>
      <x:c r="D24" s="15"/>
      <x:c r="E24" s="15"/>
      <x:c r="F24" s="15"/>
      <x:c r="G24" s="15"/>
      <x:c r="H24" s="15"/>
    </x:row>
    <x:row r="25">
      <x:c r="A25" s="15" t="str">
        <x:v>Lookup</x:v>
      </x:c>
      <x:c r="B25" s="15" t="str">
        <x:v>Use XLOOKUP to return the category for each product.</x:v>
      </x:c>
      <x:c r="C25" s="15"/>
      <x:c r="D25" s="15"/>
      <x:c r="E25" s="15"/>
      <x:c r="F25" s="15"/>
      <x:c r="G25" s="15"/>
      <x:c r="H25" s="15"/>
    </x:row>
    <x:row r="26">
      <x:c r="A26" s="15" t="str">
        <x:v>Dynamic array</x:v>
      </x:c>
      <x:c r="B26" s="15" t="str">
        <x:v>Use FILTER to return rows where Gross Sales is greater than 6,000.</x:v>
      </x:c>
      <x:c r="C26" s="15"/>
      <x:c r="D26" s="15"/>
      <x:c r="E26" s="15"/>
      <x:c r="F26" s="15"/>
      <x:c r="G26" s="15"/>
      <x:c r="H26" s="15"/>
    </x:row>
    <x:row r="27">
      <x:c r="A27" s="15" t="str">
        <x:v>Interpret</x:v>
      </x:c>
      <x:c r="B27" s="15" t="str">
        <x:v>Write one sentence explaining which observation drives the highest sale.</x:v>
      </x:c>
      <x:c r="C27" s="15"/>
      <x:c r="D27" s="15"/>
      <x:c r="E27" s="15"/>
      <x:c r="F27" s="15"/>
      <x:c r="G27" s="15"/>
      <x:c r="H27" s="15"/>
    </x:row>
  </x:sheetData>
  <x:mergeCells>
    <x:mergeCell ref="A1:H2"/>
    <x:mergeCell ref="A22:H22"/>
  </x:mergeCells>
  <x:conditionalFormatting sqref="F5:F10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{D34A051D-6C39-5394-88B8-958459452E62}</x14:id>
        </x:ext>
      </x:extLst>
    </x:cfRule>
  </x:conditionalFormatting>
  <x:dataValidations count="1">
    <x:dataValidation type="list" sqref="G5:G10">
      <x:formula1>"Yes,No"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4A051D-6C39-5394-88B8-958459452E62}">
            <x14:dataBar gradient="1">
              <x14:cfvo type="min"/>
              <x14:cfvo type="max"/>
              <x14:fillColor rgb="FF5B9BD5"/>
            </x14:dataBar>
          </x14:cfRule>
          <xm:sqref>F5:F10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4" t="str">
        <x:v>Raw Name</x:v>
      </x:c>
      <x:c r="B1" s="34" t="str">
        <x:v>Raw Region</x:v>
      </x:c>
      <x:c r="C1" s="34" t="str">
        <x:v>Raw Date</x:v>
      </x:c>
      <x:c r="D1" s="34" t="str">
        <x:v>Raw Amount</x:v>
      </x:c>
      <x:c r="E1" s="34" t="str">
        <x:v>Clean Name</x:v>
      </x:c>
      <x:c r="F1" s="34" t="str">
        <x:v>Clean Region</x:v>
      </x:c>
      <x:c r="G1" s="34" t="str">
        <x:v>Valid Amount?</x:v>
      </x:c>
    </x:row>
    <x:row r="2">
      <x:c r="A2" s="15" t="str">
        <x:v>  saiful islam </x:v>
      </x:c>
      <x:c r="B2" s="15" t="str">
        <x:v>dhaka </x:v>
      </x:c>
      <x:c r="C2" s="15" t="str">
        <x:v>01/08/2026</x:v>
      </x:c>
      <x:c r="D2" s="15" t="str">
        <x:v>12,500</x:v>
      </x:c>
      <x:c r="E2" s="15" t="str">
        <x:f>PROPER(TRIM(A2))</x:f>
        <x:v>Saiful Islam</x:v>
      </x:c>
      <x:c r="F2" s="15" t="str">
        <x:f>PROPER(TRIM(B2))</x:f>
        <x:v>Dhaka</x:v>
      </x:c>
      <x:c r="G2" s="15" t="str">
        <x:f>IFERROR(IF(VALUE(SUBSTITUTE(TRIM(D2),",",""))&gt;0,"Valid","Review"),"Review")</x:f>
        <x:v>Valid</x:v>
      </x:c>
    </x:row>
    <x:row r="3">
      <x:c r="A3" s="15" t="str">
        <x:v>RAHIMA AKTER</x:v>
      </x:c>
      <x:c r="B3" s="15" t="str">
        <x:v> Chattogram</x:v>
      </x:c>
      <x:c r="C3" s="15" t="str">
        <x:v>2026-08-02</x:v>
      </x:c>
      <x:c r="D3" s="15" t="str">
        <x:v>8500</x:v>
      </x:c>
      <x:c r="E3" s="15" t="str">
        <x:f>PROPER(TRIM(A3))</x:f>
        <x:v>Rahima Akter</x:v>
      </x:c>
      <x:c r="F3" s="15" t="str">
        <x:f>PROPER(TRIM(B3))</x:f>
        <x:v>Chattogram</x:v>
      </x:c>
      <x:c r="G3" s="15" t="str">
        <x:f>IFERROR(IF(VALUE(SUBSTITUTE(TRIM(D3),",",""))&gt;0,"Valid","Review"),"Review")</x:f>
        <x:v>Review</x:v>
      </x:c>
    </x:row>
    <x:row r="4">
      <x:c r="A4" s="15" t="str">
        <x:v> md. karim</x:v>
      </x:c>
      <x:c r="B4" s="15" t="str">
        <x:v>DHAKA</x:v>
      </x:c>
      <x:c r="C4" s="15" t="str">
        <x:v>03-Aug-2026</x:v>
      </x:c>
      <x:c r="D4" s="15" t="str">
        <x:v>-</x:v>
      </x:c>
      <x:c r="E4" s="15" t="str">
        <x:f>PROPER(TRIM(A4))</x:f>
        <x:v>Md. Karim</x:v>
      </x:c>
      <x:c r="F4" s="15" t="str">
        <x:f>PROPER(TRIM(B4))</x:f>
        <x:v>Dhaka</x:v>
      </x:c>
      <x:c r="G4" s="15" t="str">
        <x:f>IFERROR(IF(VALUE(SUBSTITUTE(TRIM(D4),",",""))&gt;0,"Valid","Review"),"Review")</x:f>
        <x:v>Review</x:v>
      </x:c>
    </x:row>
    <x:row r="5">
      <x:c r="A5" s="15" t="str">
        <x:v>Nusrat  Jahan </x:v>
      </x:c>
      <x:c r="B5" s="15" t="str">
        <x:v>rajshahi</x:v>
      </x:c>
      <x:c r="C5" s="15" t="str">
        <x:v>04/08/26</x:v>
      </x:c>
      <x:c r="D5" s="15" t="str">
        <x:v> 7200 </x:v>
      </x:c>
      <x:c r="E5" s="15" t="str">
        <x:f>PROPER(TRIM(A5))</x:f>
        <x:v>Nusrat Jahan</x:v>
      </x:c>
      <x:c r="F5" s="15" t="str">
        <x:f>PROPER(TRIM(B5))</x:f>
        <x:v>Rajshahi</x:v>
      </x:c>
      <x:c r="G5" s="15" t="str">
        <x:f>IFERROR(IF(VALUE(SUBSTITUTE(TRIM(D5),",",""))&gt;0,"Valid","Review"),"Review")</x:f>
        <x:v>Review</x:v>
      </x:c>
    </x:row>
    <x:row r="6">
      <x:c r="A6" s="15" t="str">
        <x:v>TANVIR HASAN</x:v>
      </x:c>
      <x:c r="B6" s="15" t="str">
        <x:v>Khulna </x:v>
      </x:c>
      <x:c r="C6" s="15" t="str">
        <x:v>invalid</x:v>
      </x:c>
      <x:c r="D6" s="15" t="str">
        <x:v>9600</x:v>
      </x:c>
      <x:c r="E6" s="15" t="str">
        <x:f>PROPER(TRIM(A6))</x:f>
        <x:v>Tanvir Hasan</x:v>
      </x:c>
      <x:c r="F6" s="15" t="str">
        <x:f>PROPER(TRIM(B6))</x:f>
        <x:v>Khulna</x:v>
      </x:c>
      <x:c r="G6" s="15" t="str">
        <x:f>IFERROR(IF(VALUE(SUBSTITUTE(TRIM(D6),",",""))&gt;0,"Valid","Review"),"Review")</x:f>
        <x:v>Review</x:v>
      </x:c>
    </x:row>
    <x:row r="7">
      <x:c r="A7" s="15" t="str">
        <x:v>  Mita Roy</x:v>
      </x:c>
      <x:c r="B7" s="15" t="str">
        <x:v>Dhaka</x:v>
      </x:c>
      <x:c r="C7" s="15" t="str">
        <x:v>06/08/2026</x:v>
      </x:c>
      <x:c r="D7" s="15" t="str">
        <x:v>10500</x:v>
      </x:c>
      <x:c r="E7" s="15" t="str">
        <x:f>PROPER(TRIM(A7))</x:f>
        <x:v>Mita Roy</x:v>
      </x:c>
      <x:c r="F7" s="15" t="str">
        <x:f>PROPER(TRIM(B7))</x:f>
        <x:v>Dhaka</x:v>
      </x:c>
      <x:c r="G7" s="15" t="str">
        <x:f>IFERROR(IF(VALUE(SUBSTITUTE(TRIM(D7),",",""))&gt;0,"Valid","Review"),"Review")</x:f>
        <x:v>Review</x:v>
      </x:c>
    </x:row>
  </x:sheetData>
  <x:conditionalFormatting sqref="G2:G7">
    <x:cfRule type="expression" dxfId="0" priority="1">
      <x:formula>G2="Review"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2" hidden="0" customWidth="1"/>
    <x:col min="5" max="5" width="18" hidden="0" customWidth="1"/>
    <x:col min="6" max="6" width="15" hidden="0" customWidth="1"/>
    <x:col min="7" max="7" width="10" hidden="0" customWidth="1"/>
    <x:col min="8" max="8" width="15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3" t="str">
        <x:v>Transaction ID</x:v>
      </x:c>
      <x:c r="B1" s="23" t="str">
        <x:v>Order Date</x:v>
      </x:c>
      <x:c r="C1" s="23" t="str">
        <x:v>Region</x:v>
      </x:c>
      <x:c r="D1" s="23" t="str">
        <x:v>Channel</x:v>
      </x:c>
      <x:c r="E1" s="23" t="str">
        <x:v>Product</x:v>
      </x:c>
      <x:c r="F1" s="23" t="str">
        <x:v>Category</x:v>
      </x:c>
      <x:c r="G1" s="23" t="str">
        <x:v>Quantity</x:v>
      </x:c>
      <x:c r="H1" s="23" t="str">
        <x:v>Unit Price (BDT)</x:v>
      </x:c>
      <x:c r="I1" s="23" t="str">
        <x:v>Discount Rate</x:v>
      </x:c>
      <x:c r="J1" s="23" t="str">
        <x:v>Revenue (BDT)</x:v>
      </x:c>
      <x:c r="K1" s="23" t="str">
        <x:v>Cost (BDT)</x:v>
      </x:c>
      <x:c r="L1" s="23" t="str">
        <x:v>Profit (BDT)</x:v>
      </x:c>
    </x:row>
    <x:row r="2">
      <x:c r="A2" t="str">
        <x:v>TX-0001</x:v>
      </x:c>
      <x:c r="B2" s="28" t="n">
        <x:v>46023</x:v>
      </x:c>
      <x:c r="C2" t="str">
        <x:v>Dhaka</x:v>
      </x:c>
      <x:c r="D2" t="str">
        <x:v>Store</x:v>
      </x:c>
      <x:c r="E2" t="str">
        <x:v>T-Shirt</x:v>
      </x:c>
      <x:c r="F2" t="str">
        <x:v>Apparel</x:v>
      </x:c>
      <x:c r="G2" t="n">
        <x:v>2</x:v>
      </x:c>
      <x:c r="H2" s="30" t="n">
        <x:v>650</x:v>
      </x:c>
      <x:c r="I2" s="32" t="n">
        <x:v>0.15</x:v>
      </x:c>
      <x:c r="J2" s="30" t="n">
        <x:v>1105</x:v>
      </x:c>
      <x:c r="K2" s="30" t="n">
        <x:v>720</x:v>
      </x:c>
      <x:c r="L2" s="30" t="n">
        <x:v>385</x:v>
      </x:c>
    </x:row>
    <x:row r="3">
      <x:c r="A3" t="str">
        <x:v>TX-0002</x:v>
      </x:c>
      <x:c r="B3" s="28" t="n">
        <x:v>46023</x:v>
      </x:c>
      <x:c r="C3" t="str">
        <x:v>Chattogram</x:v>
      </x:c>
      <x:c r="D3" t="str">
        <x:v>Store</x:v>
      </x:c>
      <x:c r="E3" t="str">
        <x:v>T-Shirt</x:v>
      </x:c>
      <x:c r="F3" t="str">
        <x:v>Apparel</x:v>
      </x:c>
      <x:c r="G3" t="n">
        <x:v>8</x:v>
      </x:c>
      <x:c r="H3" s="30" t="n">
        <x:v>650</x:v>
      </x:c>
      <x:c r="I3" s="32" t="n">
        <x:v>0</x:v>
      </x:c>
      <x:c r="J3" s="30" t="n">
        <x:v>5200</x:v>
      </x:c>
      <x:c r="K3" s="30" t="n">
        <x:v>2880</x:v>
      </x:c>
      <x:c r="L3" s="30" t="n">
        <x:v>2320</x:v>
      </x:c>
    </x:row>
    <x:row r="4">
      <x:c r="A4" t="str">
        <x:v>TX-0003</x:v>
      </x:c>
      <x:c r="B4" s="28" t="n">
        <x:v>46024</x:v>
      </x:c>
      <x:c r="C4" t="str">
        <x:v>Rajshahi</x:v>
      </x:c>
      <x:c r="D4" t="str">
        <x:v>Store</x:v>
      </x:c>
      <x:c r="E4" t="str">
        <x:v>Sneakers</x:v>
      </x:c>
      <x:c r="F4" t="str">
        <x:v>Footwear</x:v>
      </x:c>
      <x:c r="G4" t="n">
        <x:v>1</x:v>
      </x:c>
      <x:c r="H4" s="30" t="n">
        <x:v>2400</x:v>
      </x:c>
      <x:c r="I4" s="32" t="n">
        <x:v>0.1</x:v>
      </x:c>
      <x:c r="J4" s="30" t="n">
        <x:v>2160</x:v>
      </x:c>
      <x:c r="K4" s="30" t="n">
        <x:v>1550</x:v>
      </x:c>
      <x:c r="L4" s="30" t="n">
        <x:v>610</x:v>
      </x:c>
    </x:row>
    <x:row r="5">
      <x:c r="A5" t="str">
        <x:v>TX-0004</x:v>
      </x:c>
      <x:c r="B5" s="28" t="n">
        <x:v>46024</x:v>
      </x:c>
      <x:c r="C5" t="str">
        <x:v>Khulna</x:v>
      </x:c>
      <x:c r="D5" t="str">
        <x:v>Online</x:v>
      </x:c>
      <x:c r="E5" t="str">
        <x:v>Backpack</x:v>
      </x:c>
      <x:c r="F5" t="str">
        <x:v>Accessories</x:v>
      </x:c>
      <x:c r="G5" t="n">
        <x:v>6</x:v>
      </x:c>
      <x:c r="H5" s="30" t="n">
        <x:v>1800</x:v>
      </x:c>
      <x:c r="I5" s="32" t="n">
        <x:v>0.1</x:v>
      </x:c>
      <x:c r="J5" s="30" t="n">
        <x:v>9720</x:v>
      </x:c>
      <x:c r="K5" s="30" t="n">
        <x:v>6720</x:v>
      </x:c>
      <x:c r="L5" s="30" t="n">
        <x:v>3000</x:v>
      </x:c>
    </x:row>
    <x:row r="6">
      <x:c r="A6" t="str">
        <x:v>TX-0005</x:v>
      </x:c>
      <x:c r="B6" s="28" t="n">
        <x:v>46025</x:v>
      </x:c>
      <x:c r="C6" t="str">
        <x:v>Dhaka</x:v>
      </x:c>
      <x:c r="D6" t="str">
        <x:v>Online</x:v>
      </x:c>
      <x:c r="E6" t="str">
        <x:v>Polo Shirt</x:v>
      </x:c>
      <x:c r="F6" t="str">
        <x:v>Apparel</x:v>
      </x:c>
      <x:c r="G6" t="n">
        <x:v>1</x:v>
      </x:c>
      <x:c r="H6" s="30" t="n">
        <x:v>1200</x:v>
      </x:c>
      <x:c r="I6" s="32" t="n">
        <x:v>0.05</x:v>
      </x:c>
      <x:c r="J6" s="30" t="n">
        <x:v>1140</x:v>
      </x:c>
      <x:c r="K6" s="30" t="n">
        <x:v>720</x:v>
      </x:c>
      <x:c r="L6" s="30" t="n">
        <x:v>420</x:v>
      </x:c>
    </x:row>
    <x:row r="7">
      <x:c r="A7" t="str">
        <x:v>TX-0006</x:v>
      </x:c>
      <x:c r="B7" s="28" t="n">
        <x:v>46025</x:v>
      </x:c>
      <x:c r="C7" t="str">
        <x:v>Chattogram</x:v>
      </x:c>
      <x:c r="D7" t="str">
        <x:v>Online</x:v>
      </x:c>
      <x:c r="E7" t="str">
        <x:v>Formal Shirt</x:v>
      </x:c>
      <x:c r="F7" t="str">
        <x:v>Apparel</x:v>
      </x:c>
      <x:c r="G7" t="n">
        <x:v>4</x:v>
      </x:c>
      <x:c r="H7" s="30" t="n">
        <x:v>1450</x:v>
      </x:c>
      <x:c r="I7" s="32" t="n">
        <x:v>0</x:v>
      </x:c>
      <x:c r="J7" s="30" t="n">
        <x:v>5800</x:v>
      </x:c>
      <x:c r="K7" s="30" t="n">
        <x:v>3520</x:v>
      </x:c>
      <x:c r="L7" s="30" t="n">
        <x:v>2280</x:v>
      </x:c>
    </x:row>
    <x:row r="8">
      <x:c r="A8" t="str">
        <x:v>TX-0007</x:v>
      </x:c>
      <x:c r="B8" s="28" t="n">
        <x:v>46026</x:v>
      </x:c>
      <x:c r="C8" t="str">
        <x:v>Rajshahi</x:v>
      </x:c>
      <x:c r="D8" t="str">
        <x:v>Partner</x:v>
      </x:c>
      <x:c r="E8" t="str">
        <x:v>Polo Shirt</x:v>
      </x:c>
      <x:c r="F8" t="str">
        <x:v>Apparel</x:v>
      </x:c>
      <x:c r="G8" t="n">
        <x:v>6</x:v>
      </x:c>
      <x:c r="H8" s="30" t="n">
        <x:v>1200</x:v>
      </x:c>
      <x:c r="I8" s="32" t="n">
        <x:v>0.15</x:v>
      </x:c>
      <x:c r="J8" s="30" t="n">
        <x:v>6120</x:v>
      </x:c>
      <x:c r="K8" s="30" t="n">
        <x:v>4320</x:v>
      </x:c>
      <x:c r="L8" s="30" t="n">
        <x:v>1800</x:v>
      </x:c>
    </x:row>
    <x:row r="9">
      <x:c r="A9" t="str">
        <x:v>TX-0008</x:v>
      </x:c>
      <x:c r="B9" s="28" t="n">
        <x:v>46026</x:v>
      </x:c>
      <x:c r="C9" t="str">
        <x:v>Khulna</x:v>
      </x:c>
      <x:c r="D9" t="str">
        <x:v>Partner</x:v>
      </x:c>
      <x:c r="E9" t="str">
        <x:v>Notebook Set</x:v>
      </x:c>
      <x:c r="F9" t="str">
        <x:v>Stationery</x:v>
      </x:c>
      <x:c r="G9" t="n">
        <x:v>5</x:v>
      </x:c>
      <x:c r="H9" s="30" t="n">
        <x:v>320</x:v>
      </x:c>
      <x:c r="I9" s="32" t="n">
        <x:v>0</x:v>
      </x:c>
      <x:c r="J9" s="30" t="n">
        <x:v>1600</x:v>
      </x:c>
      <x:c r="K9" s="30" t="n">
        <x:v>850</x:v>
      </x:c>
      <x:c r="L9" s="30" t="n">
        <x:v>750</x:v>
      </x:c>
    </x:row>
    <x:row r="10">
      <x:c r="A10" t="str">
        <x:v>TX-0009</x:v>
      </x:c>
      <x:c r="B10" s="28" t="n">
        <x:v>46027</x:v>
      </x:c>
      <x:c r="C10" t="str">
        <x:v>Dhaka</x:v>
      </x:c>
      <x:c r="D10" t="str">
        <x:v>Partner</x:v>
      </x:c>
      <x:c r="E10" t="str">
        <x:v>Sneakers</x:v>
      </x:c>
      <x:c r="F10" t="str">
        <x:v>Footwear</x:v>
      </x:c>
      <x:c r="G10" t="n">
        <x:v>4</x:v>
      </x:c>
      <x:c r="H10" s="30" t="n">
        <x:v>2400</x:v>
      </x:c>
      <x:c r="I10" s="32" t="n">
        <x:v>0</x:v>
      </x:c>
      <x:c r="J10" s="30" t="n">
        <x:v>9600</x:v>
      </x:c>
      <x:c r="K10" s="30" t="n">
        <x:v>6200</x:v>
      </x:c>
      <x:c r="L10" s="30" t="n">
        <x:v>3400</x:v>
      </x:c>
    </x:row>
    <x:row r="11">
      <x:c r="A11" t="str">
        <x:v>TX-0010</x:v>
      </x:c>
      <x:c r="B11" s="28" t="n">
        <x:v>46027</x:v>
      </x:c>
      <x:c r="C11" t="str">
        <x:v>Chattogram</x:v>
      </x:c>
      <x:c r="D11" t="str">
        <x:v>Store</x:v>
      </x:c>
      <x:c r="E11" t="str">
        <x:v>Sneakers</x:v>
      </x:c>
      <x:c r="F11" t="str">
        <x:v>Footwear</x:v>
      </x:c>
      <x:c r="G11" t="n">
        <x:v>4</x:v>
      </x:c>
      <x:c r="H11" s="30" t="n">
        <x:v>2400</x:v>
      </x:c>
      <x:c r="I11" s="32" t="n">
        <x:v>0</x:v>
      </x:c>
      <x:c r="J11" s="30" t="n">
        <x:v>9600</x:v>
      </x:c>
      <x:c r="K11" s="30" t="n">
        <x:v>6200</x:v>
      </x:c>
      <x:c r="L11" s="30" t="n">
        <x:v>3400</x:v>
      </x:c>
    </x:row>
    <x:row r="12">
      <x:c r="A12" t="str">
        <x:v>TX-0011</x:v>
      </x:c>
      <x:c r="B12" s="28" t="n">
        <x:v>46028</x:v>
      </x:c>
      <x:c r="C12" t="str">
        <x:v>Rajshahi</x:v>
      </x:c>
      <x:c r="D12" t="str">
        <x:v>Store</x:v>
      </x:c>
      <x:c r="E12" t="str">
        <x:v>T-Shirt</x:v>
      </x:c>
      <x:c r="F12" t="str">
        <x:v>Apparel</x:v>
      </x:c>
      <x:c r="G12" t="n">
        <x:v>3</x:v>
      </x:c>
      <x:c r="H12" s="30" t="n">
        <x:v>650</x:v>
      </x:c>
      <x:c r="I12" s="32" t="n">
        <x:v>0.05</x:v>
      </x:c>
      <x:c r="J12" s="30" t="n">
        <x:v>1852.5</x:v>
      </x:c>
      <x:c r="K12" s="30" t="n">
        <x:v>1080</x:v>
      </x:c>
      <x:c r="L12" s="30" t="n">
        <x:v>772.5</x:v>
      </x:c>
    </x:row>
    <x:row r="13">
      <x:c r="A13" t="str">
        <x:v>TX-0012</x:v>
      </x:c>
      <x:c r="B13" s="28" t="n">
        <x:v>46028</x:v>
      </x:c>
      <x:c r="C13" t="str">
        <x:v>Khulna</x:v>
      </x:c>
      <x:c r="D13" t="str">
        <x:v>Store</x:v>
      </x:c>
      <x:c r="E13" t="str">
        <x:v>Sneakers</x:v>
      </x:c>
      <x:c r="F13" t="str">
        <x:v>Footwear</x:v>
      </x:c>
      <x:c r="G13" t="n">
        <x:v>8</x:v>
      </x:c>
      <x:c r="H13" s="30" t="n">
        <x:v>2400</x:v>
      </x:c>
      <x:c r="I13" s="32" t="n">
        <x:v>0.05</x:v>
      </x:c>
      <x:c r="J13" s="30" t="n">
        <x:v>18240</x:v>
      </x:c>
      <x:c r="K13" s="30" t="n">
        <x:v>12400</x:v>
      </x:c>
      <x:c r="L13" s="30" t="n">
        <x:v>5840</x:v>
      </x:c>
    </x:row>
    <x:row r="14">
      <x:c r="A14" t="str">
        <x:v>TX-0013</x:v>
      </x:c>
      <x:c r="B14" s="28" t="n">
        <x:v>46029</x:v>
      </x:c>
      <x:c r="C14" t="str">
        <x:v>Dhaka</x:v>
      </x:c>
      <x:c r="D14" t="str">
        <x:v>Online</x:v>
      </x:c>
      <x:c r="E14" t="str">
        <x:v>Formal Shirt</x:v>
      </x:c>
      <x:c r="F14" t="str">
        <x:v>Apparel</x:v>
      </x:c>
      <x:c r="G14" t="n">
        <x:v>6</x:v>
      </x:c>
      <x:c r="H14" s="30" t="n">
        <x:v>1450</x:v>
      </x:c>
      <x:c r="I14" s="32" t="n">
        <x:v>0.05</x:v>
      </x:c>
      <x:c r="J14" s="30" t="n">
        <x:v>8265</x:v>
      </x:c>
      <x:c r="K14" s="30" t="n">
        <x:v>5280</x:v>
      </x:c>
      <x:c r="L14" s="30" t="n">
        <x:v>2985</x:v>
      </x:c>
    </x:row>
    <x:row r="15">
      <x:c r="A15" t="str">
        <x:v>TX-0014</x:v>
      </x:c>
      <x:c r="B15" s="28" t="n">
        <x:v>46029</x:v>
      </x:c>
      <x:c r="C15" t="str">
        <x:v>Chattogram</x:v>
      </x:c>
      <x:c r="D15" t="str">
        <x:v>Online</x:v>
      </x:c>
      <x:c r="E15" t="str">
        <x:v>Polo Shirt</x:v>
      </x:c>
      <x:c r="F15" t="str">
        <x:v>Apparel</x:v>
      </x:c>
      <x:c r="G15" t="n">
        <x:v>4</x:v>
      </x:c>
      <x:c r="H15" s="30" t="n">
        <x:v>1200</x:v>
      </x:c>
      <x:c r="I15" s="32" t="n">
        <x:v>0.15</x:v>
      </x:c>
      <x:c r="J15" s="30" t="n">
        <x:v>4080</x:v>
      </x:c>
      <x:c r="K15" s="30" t="n">
        <x:v>2880</x:v>
      </x:c>
      <x:c r="L15" s="30" t="n">
        <x:v>1200</x:v>
      </x:c>
    </x:row>
    <x:row r="16">
      <x:c r="A16" t="str">
        <x:v>TX-0015</x:v>
      </x:c>
      <x:c r="B16" s="28" t="n">
        <x:v>46030</x:v>
      </x:c>
      <x:c r="C16" t="str">
        <x:v>Rajshahi</x:v>
      </x:c>
      <x:c r="D16" t="str">
        <x:v>Online</x:v>
      </x:c>
      <x:c r="E16" t="str">
        <x:v>Sneakers</x:v>
      </x:c>
      <x:c r="F16" t="str">
        <x:v>Footwear</x:v>
      </x:c>
      <x:c r="G16" t="n">
        <x:v>3</x:v>
      </x:c>
      <x:c r="H16" s="30" t="n">
        <x:v>2400</x:v>
      </x:c>
      <x:c r="I16" s="32" t="n">
        <x:v>0.1</x:v>
      </x:c>
      <x:c r="J16" s="30" t="n">
        <x:v>6480</x:v>
      </x:c>
      <x:c r="K16" s="30" t="n">
        <x:v>4650</x:v>
      </x:c>
      <x:c r="L16" s="30" t="n">
        <x:v>1830</x:v>
      </x:c>
    </x:row>
    <x:row r="17">
      <x:c r="A17" t="str">
        <x:v>TX-0016</x:v>
      </x:c>
      <x:c r="B17" s="28" t="n">
        <x:v>46030</x:v>
      </x:c>
      <x:c r="C17" t="str">
        <x:v>Khulna</x:v>
      </x:c>
      <x:c r="D17" t="str">
        <x:v>Partner</x:v>
      </x:c>
      <x:c r="E17" t="str">
        <x:v>Polo Shirt</x:v>
      </x:c>
      <x:c r="F17" t="str">
        <x:v>Apparel</x:v>
      </x:c>
      <x:c r="G17" t="n">
        <x:v>2</x:v>
      </x:c>
      <x:c r="H17" s="30" t="n">
        <x:v>1200</x:v>
      </x:c>
      <x:c r="I17" s="32" t="n">
        <x:v>0.05</x:v>
      </x:c>
      <x:c r="J17" s="30" t="n">
        <x:v>2280</x:v>
      </x:c>
      <x:c r="K17" s="30" t="n">
        <x:v>1440</x:v>
      </x:c>
      <x:c r="L17" s="30" t="n">
        <x:v>840</x:v>
      </x:c>
    </x:row>
    <x:row r="18">
      <x:c r="A18" t="str">
        <x:v>TX-0017</x:v>
      </x:c>
      <x:c r="B18" s="28" t="n">
        <x:v>46031</x:v>
      </x:c>
      <x:c r="C18" t="str">
        <x:v>Dhaka</x:v>
      </x:c>
      <x:c r="D18" t="str">
        <x:v>Partner</x:v>
      </x:c>
      <x:c r="E18" t="str">
        <x:v>Notebook Set</x:v>
      </x:c>
      <x:c r="F18" t="str">
        <x:v>Stationery</x:v>
      </x:c>
      <x:c r="G18" t="n">
        <x:v>2</x:v>
      </x:c>
      <x:c r="H18" s="30" t="n">
        <x:v>320</x:v>
      </x:c>
      <x:c r="I18" s="32" t="n">
        <x:v>0</x:v>
      </x:c>
      <x:c r="J18" s="30" t="n">
        <x:v>640</x:v>
      </x:c>
      <x:c r="K18" s="30" t="n">
        <x:v>340</x:v>
      </x:c>
      <x:c r="L18" s="30" t="n">
        <x:v>300</x:v>
      </x:c>
    </x:row>
    <x:row r="19">
      <x:c r="A19" t="str">
        <x:v>TX-0018</x:v>
      </x:c>
      <x:c r="B19" s="28" t="n">
        <x:v>46031</x:v>
      </x:c>
      <x:c r="C19" t="str">
        <x:v>Chattogram</x:v>
      </x:c>
      <x:c r="D19" t="str">
        <x:v>Partner</x:v>
      </x:c>
      <x:c r="E19" t="str">
        <x:v>Notebook Set</x:v>
      </x:c>
      <x:c r="F19" t="str">
        <x:v>Stationery</x:v>
      </x:c>
      <x:c r="G19" t="n">
        <x:v>4</x:v>
      </x:c>
      <x:c r="H19" s="30" t="n">
        <x:v>320</x:v>
      </x:c>
      <x:c r="I19" s="32" t="n">
        <x:v>0.05</x:v>
      </x:c>
      <x:c r="J19" s="30" t="n">
        <x:v>1216</x:v>
      </x:c>
      <x:c r="K19" s="30" t="n">
        <x:v>680</x:v>
      </x:c>
      <x:c r="L19" s="30" t="n">
        <x:v>536</x:v>
      </x:c>
    </x:row>
    <x:row r="20">
      <x:c r="A20" t="str">
        <x:v>TX-0019</x:v>
      </x:c>
      <x:c r="B20" s="28" t="n">
        <x:v>46032</x:v>
      </x:c>
      <x:c r="C20" t="str">
        <x:v>Rajshahi</x:v>
      </x:c>
      <x:c r="D20" t="str">
        <x:v>Store</x:v>
      </x:c>
      <x:c r="E20" t="str">
        <x:v>Notebook Set</x:v>
      </x:c>
      <x:c r="F20" t="str">
        <x:v>Stationery</x:v>
      </x:c>
      <x:c r="G20" t="n">
        <x:v>1</x:v>
      </x:c>
      <x:c r="H20" s="30" t="n">
        <x:v>320</x:v>
      </x:c>
      <x:c r="I20" s="32" t="n">
        <x:v>0.1</x:v>
      </x:c>
      <x:c r="J20" s="30" t="n">
        <x:v>288</x:v>
      </x:c>
      <x:c r="K20" s="30" t="n">
        <x:v>170</x:v>
      </x:c>
      <x:c r="L20" s="30" t="n">
        <x:v>118</x:v>
      </x:c>
    </x:row>
    <x:row r="21">
      <x:c r="A21" t="str">
        <x:v>TX-0020</x:v>
      </x:c>
      <x:c r="B21" s="28" t="n">
        <x:v>46032</x:v>
      </x:c>
      <x:c r="C21" t="str">
        <x:v>Khulna</x:v>
      </x:c>
      <x:c r="D21" t="str">
        <x:v>Store</x:v>
      </x:c>
      <x:c r="E21" t="str">
        <x:v>T-Shirt</x:v>
      </x:c>
      <x:c r="F21" t="str">
        <x:v>Apparel</x:v>
      </x:c>
      <x:c r="G21" t="n">
        <x:v>1</x:v>
      </x:c>
      <x:c r="H21" s="30" t="n">
        <x:v>650</x:v>
      </x:c>
      <x:c r="I21" s="32" t="n">
        <x:v>0</x:v>
      </x:c>
      <x:c r="J21" s="30" t="n">
        <x:v>650</x:v>
      </x:c>
      <x:c r="K21" s="30" t="n">
        <x:v>360</x:v>
      </x:c>
      <x:c r="L21" s="30" t="n">
        <x:v>290</x:v>
      </x:c>
    </x:row>
    <x:row r="22">
      <x:c r="A22" t="str">
        <x:v>TX-0021</x:v>
      </x:c>
      <x:c r="B22" s="28" t="n">
        <x:v>46033</x:v>
      </x:c>
      <x:c r="C22" t="str">
        <x:v>Dhaka</x:v>
      </x:c>
      <x:c r="D22" t="str">
        <x:v>Store</x:v>
      </x:c>
      <x:c r="E22" t="str">
        <x:v>Backpack</x:v>
      </x:c>
      <x:c r="F22" t="str">
        <x:v>Accessories</x:v>
      </x:c>
      <x:c r="G22" t="n">
        <x:v>6</x:v>
      </x:c>
      <x:c r="H22" s="30" t="n">
        <x:v>1800</x:v>
      </x:c>
      <x:c r="I22" s="32" t="n">
        <x:v>0</x:v>
      </x:c>
      <x:c r="J22" s="30" t="n">
        <x:v>10800</x:v>
      </x:c>
      <x:c r="K22" s="30" t="n">
        <x:v>6720</x:v>
      </x:c>
      <x:c r="L22" s="30" t="n">
        <x:v>4080</x:v>
      </x:c>
    </x:row>
    <x:row r="23">
      <x:c r="A23" t="str">
        <x:v>TX-0022</x:v>
      </x:c>
      <x:c r="B23" s="28" t="n">
        <x:v>46033</x:v>
      </x:c>
      <x:c r="C23" t="str">
        <x:v>Chattogram</x:v>
      </x:c>
      <x:c r="D23" t="str">
        <x:v>Online</x:v>
      </x:c>
      <x:c r="E23" t="str">
        <x:v>T-Shirt</x:v>
      </x:c>
      <x:c r="F23" t="str">
        <x:v>Apparel</x:v>
      </x:c>
      <x:c r="G23" t="n">
        <x:v>5</x:v>
      </x:c>
      <x:c r="H23" s="30" t="n">
        <x:v>650</x:v>
      </x:c>
      <x:c r="I23" s="32" t="n">
        <x:v>0</x:v>
      </x:c>
      <x:c r="J23" s="30" t="n">
        <x:v>3250</x:v>
      </x:c>
      <x:c r="K23" s="30" t="n">
        <x:v>1800</x:v>
      </x:c>
      <x:c r="L23" s="30" t="n">
        <x:v>1450</x:v>
      </x:c>
    </x:row>
    <x:row r="24">
      <x:c r="A24" t="str">
        <x:v>TX-0023</x:v>
      </x:c>
      <x:c r="B24" s="28" t="n">
        <x:v>46034</x:v>
      </x:c>
      <x:c r="C24" t="str">
        <x:v>Rajshahi</x:v>
      </x:c>
      <x:c r="D24" t="str">
        <x:v>Online</x:v>
      </x:c>
      <x:c r="E24" t="str">
        <x:v>Polo Shirt</x:v>
      </x:c>
      <x:c r="F24" t="str">
        <x:v>Apparel</x:v>
      </x:c>
      <x:c r="G24" t="n">
        <x:v>7</x:v>
      </x:c>
      <x:c r="H24" s="30" t="n">
        <x:v>1200</x:v>
      </x:c>
      <x:c r="I24" s="32" t="n">
        <x:v>0</x:v>
      </x:c>
      <x:c r="J24" s="30" t="n">
        <x:v>8400</x:v>
      </x:c>
      <x:c r="K24" s="30" t="n">
        <x:v>5040</x:v>
      </x:c>
      <x:c r="L24" s="30" t="n">
        <x:v>3360</x:v>
      </x:c>
    </x:row>
    <x:row r="25">
      <x:c r="A25" t="str">
        <x:v>TX-0024</x:v>
      </x:c>
      <x:c r="B25" s="28" t="n">
        <x:v>46034</x:v>
      </x:c>
      <x:c r="C25" t="str">
        <x:v>Khulna</x:v>
      </x:c>
      <x:c r="D25" t="str">
        <x:v>Online</x:v>
      </x:c>
      <x:c r="E25" t="str">
        <x:v>Backpack</x:v>
      </x:c>
      <x:c r="F25" t="str">
        <x:v>Accessories</x:v>
      </x:c>
      <x:c r="G25" t="n">
        <x:v>2</x:v>
      </x:c>
      <x:c r="H25" s="30" t="n">
        <x:v>1800</x:v>
      </x:c>
      <x:c r="I25" s="32" t="n">
        <x:v>0.15</x:v>
      </x:c>
      <x:c r="J25" s="30" t="n">
        <x:v>3060</x:v>
      </x:c>
      <x:c r="K25" s="30" t="n">
        <x:v>2240</x:v>
      </x:c>
      <x:c r="L25" s="30" t="n">
        <x:v>820</x:v>
      </x:c>
    </x:row>
    <x:row r="26">
      <x:c r="A26" t="str">
        <x:v>TX-0025</x:v>
      </x:c>
      <x:c r="B26" s="28" t="n">
        <x:v>46035</x:v>
      </x:c>
      <x:c r="C26" t="str">
        <x:v>Dhaka</x:v>
      </x:c>
      <x:c r="D26" t="str">
        <x:v>Partner</x:v>
      </x:c>
      <x:c r="E26" t="str">
        <x:v>Sneakers</x:v>
      </x:c>
      <x:c r="F26" t="str">
        <x:v>Footwear</x:v>
      </x:c>
      <x:c r="G26" t="n">
        <x:v>2</x:v>
      </x:c>
      <x:c r="H26" s="30" t="n">
        <x:v>2400</x:v>
      </x:c>
      <x:c r="I26" s="32" t="n">
        <x:v>0</x:v>
      </x:c>
      <x:c r="J26" s="30" t="n">
        <x:v>4800</x:v>
      </x:c>
      <x:c r="K26" s="30" t="n">
        <x:v>3100</x:v>
      </x:c>
      <x:c r="L26" s="30" t="n">
        <x:v>1700</x:v>
      </x:c>
    </x:row>
    <x:row r="27">
      <x:c r="A27" t="str">
        <x:v>TX-0026</x:v>
      </x:c>
      <x:c r="B27" s="28" t="n">
        <x:v>46035</x:v>
      </x:c>
      <x:c r="C27" t="str">
        <x:v>Chattogram</x:v>
      </x:c>
      <x:c r="D27" t="str">
        <x:v>Partner</x:v>
      </x:c>
      <x:c r="E27" t="str">
        <x:v>Sneakers</x:v>
      </x:c>
      <x:c r="F27" t="str">
        <x:v>Footwear</x:v>
      </x:c>
      <x:c r="G27" t="n">
        <x:v>1</x:v>
      </x:c>
      <x:c r="H27" s="30" t="n">
        <x:v>2400</x:v>
      </x:c>
      <x:c r="I27" s="32" t="n">
        <x:v>0.05</x:v>
      </x:c>
      <x:c r="J27" s="30" t="n">
        <x:v>2280</x:v>
      </x:c>
      <x:c r="K27" s="30" t="n">
        <x:v>1550</x:v>
      </x:c>
      <x:c r="L27" s="30" t="n">
        <x:v>730</x:v>
      </x:c>
    </x:row>
    <x:row r="28">
      <x:c r="A28" t="str">
        <x:v>TX-0027</x:v>
      </x:c>
      <x:c r="B28" s="28" t="n">
        <x:v>46036</x:v>
      </x:c>
      <x:c r="C28" t="str">
        <x:v>Rajshahi</x:v>
      </x:c>
      <x:c r="D28" t="str">
        <x:v>Partner</x:v>
      </x:c>
      <x:c r="E28" t="str">
        <x:v>T-Shirt</x:v>
      </x:c>
      <x:c r="F28" t="str">
        <x:v>Apparel</x:v>
      </x:c>
      <x:c r="G28" t="n">
        <x:v>1</x:v>
      </x:c>
      <x:c r="H28" s="30" t="n">
        <x:v>650</x:v>
      </x:c>
      <x:c r="I28" s="32" t="n">
        <x:v>0.1</x:v>
      </x:c>
      <x:c r="J28" s="30" t="n">
        <x:v>585</x:v>
      </x:c>
      <x:c r="K28" s="30" t="n">
        <x:v>360</x:v>
      </x:c>
      <x:c r="L28" s="30" t="n">
        <x:v>225</x:v>
      </x:c>
    </x:row>
    <x:row r="29">
      <x:c r="A29" t="str">
        <x:v>TX-0028</x:v>
      </x:c>
      <x:c r="B29" s="28" t="n">
        <x:v>46036</x:v>
      </x:c>
      <x:c r="C29" t="str">
        <x:v>Khulna</x:v>
      </x:c>
      <x:c r="D29" t="str">
        <x:v>Store</x:v>
      </x:c>
      <x:c r="E29" t="str">
        <x:v>Polo Shirt</x:v>
      </x:c>
      <x:c r="F29" t="str">
        <x:v>Apparel</x:v>
      </x:c>
      <x:c r="G29" t="n">
        <x:v>2</x:v>
      </x:c>
      <x:c r="H29" s="30" t="n">
        <x:v>1200</x:v>
      </x:c>
      <x:c r="I29" s="32" t="n">
        <x:v>0</x:v>
      </x:c>
      <x:c r="J29" s="30" t="n">
        <x:v>2400</x:v>
      </x:c>
      <x:c r="K29" s="30" t="n">
        <x:v>1440</x:v>
      </x:c>
      <x:c r="L29" s="30" t="n">
        <x:v>960</x:v>
      </x:c>
    </x:row>
    <x:row r="30">
      <x:c r="A30" t="str">
        <x:v>TX-0029</x:v>
      </x:c>
      <x:c r="B30" s="28" t="n">
        <x:v>46037</x:v>
      </x:c>
      <x:c r="C30" t="str">
        <x:v>Dhaka</x:v>
      </x:c>
      <x:c r="D30" t="str">
        <x:v>Store</x:v>
      </x:c>
      <x:c r="E30" t="str">
        <x:v>Formal Shirt</x:v>
      </x:c>
      <x:c r="F30" t="str">
        <x:v>Apparel</x:v>
      </x:c>
      <x:c r="G30" t="n">
        <x:v>8</x:v>
      </x:c>
      <x:c r="H30" s="30" t="n">
        <x:v>1450</x:v>
      </x:c>
      <x:c r="I30" s="32" t="n">
        <x:v>0.15</x:v>
      </x:c>
      <x:c r="J30" s="30" t="n">
        <x:v>9860</x:v>
      </x:c>
      <x:c r="K30" s="30" t="n">
        <x:v>7040</x:v>
      </x:c>
      <x:c r="L30" s="30" t="n">
        <x:v>2820</x:v>
      </x:c>
    </x:row>
    <x:row r="31">
      <x:c r="A31" t="str">
        <x:v>TX-0030</x:v>
      </x:c>
      <x:c r="B31" s="28" t="n">
        <x:v>46037</x:v>
      </x:c>
      <x:c r="C31" t="str">
        <x:v>Chattogram</x:v>
      </x:c>
      <x:c r="D31" t="str">
        <x:v>Store</x:v>
      </x:c>
      <x:c r="E31" t="str">
        <x:v>Polo Shirt</x:v>
      </x:c>
      <x:c r="F31" t="str">
        <x:v>Apparel</x:v>
      </x:c>
      <x:c r="G31" t="n">
        <x:v>8</x:v>
      </x:c>
      <x:c r="H31" s="30" t="n">
        <x:v>1200</x:v>
      </x:c>
      <x:c r="I31" s="32" t="n">
        <x:v>0</x:v>
      </x:c>
      <x:c r="J31" s="30" t="n">
        <x:v>9600</x:v>
      </x:c>
      <x:c r="K31" s="30" t="n">
        <x:v>5760</x:v>
      </x:c>
      <x:c r="L31" s="30" t="n">
        <x:v>3840</x:v>
      </x:c>
    </x:row>
    <x:row r="32">
      <x:c r="A32" t="str">
        <x:v>TX-0031</x:v>
      </x:c>
      <x:c r="B32" s="28" t="n">
        <x:v>46038</x:v>
      </x:c>
      <x:c r="C32" t="str">
        <x:v>Rajshahi</x:v>
      </x:c>
      <x:c r="D32" t="str">
        <x:v>Online</x:v>
      </x:c>
      <x:c r="E32" t="str">
        <x:v>Backpack</x:v>
      </x:c>
      <x:c r="F32" t="str">
        <x:v>Accessories</x:v>
      </x:c>
      <x:c r="G32" t="n">
        <x:v>7</x:v>
      </x:c>
      <x:c r="H32" s="30" t="n">
        <x:v>1800</x:v>
      </x:c>
      <x:c r="I32" s="32" t="n">
        <x:v>0.1</x:v>
      </x:c>
      <x:c r="J32" s="30" t="n">
        <x:v>11340</x:v>
      </x:c>
      <x:c r="K32" s="30" t="n">
        <x:v>7840</x:v>
      </x:c>
      <x:c r="L32" s="30" t="n">
        <x:v>3500</x:v>
      </x:c>
    </x:row>
    <x:row r="33">
      <x:c r="A33" t="str">
        <x:v>TX-0032</x:v>
      </x:c>
      <x:c r="B33" s="28" t="n">
        <x:v>46038</x:v>
      </x:c>
      <x:c r="C33" t="str">
        <x:v>Khulna</x:v>
      </x:c>
      <x:c r="D33" t="str">
        <x:v>Online</x:v>
      </x:c>
      <x:c r="E33" t="str">
        <x:v>Backpack</x:v>
      </x:c>
      <x:c r="F33" t="str">
        <x:v>Accessories</x:v>
      </x:c>
      <x:c r="G33" t="n">
        <x:v>2</x:v>
      </x:c>
      <x:c r="H33" s="30" t="n">
        <x:v>1800</x:v>
      </x:c>
      <x:c r="I33" s="32" t="n">
        <x:v>0</x:v>
      </x:c>
      <x:c r="J33" s="30" t="n">
        <x:v>3600</x:v>
      </x:c>
      <x:c r="K33" s="30" t="n">
        <x:v>2240</x:v>
      </x:c>
      <x:c r="L33" s="30" t="n">
        <x:v>1360</x:v>
      </x:c>
    </x:row>
    <x:row r="34">
      <x:c r="A34" t="str">
        <x:v>TX-0033</x:v>
      </x:c>
      <x:c r="B34" s="28" t="n">
        <x:v>46039</x:v>
      </x:c>
      <x:c r="C34" t="str">
        <x:v>Dhaka</x:v>
      </x:c>
      <x:c r="D34" t="str">
        <x:v>Online</x:v>
      </x:c>
      <x:c r="E34" t="str">
        <x:v>T-Shirt</x:v>
      </x:c>
      <x:c r="F34" t="str">
        <x:v>Apparel</x:v>
      </x:c>
      <x:c r="G34" t="n">
        <x:v>3</x:v>
      </x:c>
      <x:c r="H34" s="30" t="n">
        <x:v>650</x:v>
      </x:c>
      <x:c r="I34" s="32" t="n">
        <x:v>0.1</x:v>
      </x:c>
      <x:c r="J34" s="30" t="n">
        <x:v>1755</x:v>
      </x:c>
      <x:c r="K34" s="30" t="n">
        <x:v>1080</x:v>
      </x:c>
      <x:c r="L34" s="30" t="n">
        <x:v>675</x:v>
      </x:c>
    </x:row>
    <x:row r="35">
      <x:c r="A35" t="str">
        <x:v>TX-0034</x:v>
      </x:c>
      <x:c r="B35" s="28" t="n">
        <x:v>46039</x:v>
      </x:c>
      <x:c r="C35" t="str">
        <x:v>Chattogram</x:v>
      </x:c>
      <x:c r="D35" t="str">
        <x:v>Partner</x:v>
      </x:c>
      <x:c r="E35" t="str">
        <x:v>T-Shirt</x:v>
      </x:c>
      <x:c r="F35" t="str">
        <x:v>Apparel</x:v>
      </x:c>
      <x:c r="G35" t="n">
        <x:v>4</x:v>
      </x:c>
      <x:c r="H35" s="30" t="n">
        <x:v>650</x:v>
      </x:c>
      <x:c r="I35" s="32" t="n">
        <x:v>0</x:v>
      </x:c>
      <x:c r="J35" s="30" t="n">
        <x:v>2600</x:v>
      </x:c>
      <x:c r="K35" s="30" t="n">
        <x:v>1440</x:v>
      </x:c>
      <x:c r="L35" s="30" t="n">
        <x:v>1160</x:v>
      </x:c>
    </x:row>
    <x:row r="36">
      <x:c r="A36" t="str">
        <x:v>TX-0035</x:v>
      </x:c>
      <x:c r="B36" s="28" t="n">
        <x:v>46040</x:v>
      </x:c>
      <x:c r="C36" t="str">
        <x:v>Rajshahi</x:v>
      </x:c>
      <x:c r="D36" t="str">
        <x:v>Partner</x:v>
      </x:c>
      <x:c r="E36" t="str">
        <x:v>Notebook Set</x:v>
      </x:c>
      <x:c r="F36" t="str">
        <x:v>Stationery</x:v>
      </x:c>
      <x:c r="G36" t="n">
        <x:v>1</x:v>
      </x:c>
      <x:c r="H36" s="30" t="n">
        <x:v>320</x:v>
      </x:c>
      <x:c r="I36" s="32" t="n">
        <x:v>0.05</x:v>
      </x:c>
      <x:c r="J36" s="30" t="n">
        <x:v>304</x:v>
      </x:c>
      <x:c r="K36" s="30" t="n">
        <x:v>170</x:v>
      </x:c>
      <x:c r="L36" s="30" t="n">
        <x:v>134</x:v>
      </x:c>
    </x:row>
    <x:row r="37">
      <x:c r="A37" t="str">
        <x:v>TX-0036</x:v>
      </x:c>
      <x:c r="B37" s="28" t="n">
        <x:v>46040</x:v>
      </x:c>
      <x:c r="C37" t="str">
        <x:v>Khulna</x:v>
      </x:c>
      <x:c r="D37" t="str">
        <x:v>Partner</x:v>
      </x:c>
      <x:c r="E37" t="str">
        <x:v>Sneakers</x:v>
      </x:c>
      <x:c r="F37" t="str">
        <x:v>Footwear</x:v>
      </x:c>
      <x:c r="G37" t="n">
        <x:v>1</x:v>
      </x:c>
      <x:c r="H37" s="30" t="n">
        <x:v>2400</x:v>
      </x:c>
      <x:c r="I37" s="32" t="n">
        <x:v>0</x:v>
      </x:c>
      <x:c r="J37" s="30" t="n">
        <x:v>2400</x:v>
      </x:c>
      <x:c r="K37" s="30" t="n">
        <x:v>1550</x:v>
      </x:c>
      <x:c r="L37" s="30" t="n">
        <x:v>850</x:v>
      </x:c>
    </x:row>
    <x:row r="38">
      <x:c r="A38" t="str">
        <x:v>TX-0037</x:v>
      </x:c>
      <x:c r="B38" s="28" t="n">
        <x:v>46041</x:v>
      </x:c>
      <x:c r="C38" t="str">
        <x:v>Dhaka</x:v>
      </x:c>
      <x:c r="D38" t="str">
        <x:v>Store</x:v>
      </x:c>
      <x:c r="E38" t="str">
        <x:v>T-Shirt</x:v>
      </x:c>
      <x:c r="F38" t="str">
        <x:v>Apparel</x:v>
      </x:c>
      <x:c r="G38" t="n">
        <x:v>6</x:v>
      </x:c>
      <x:c r="H38" s="30" t="n">
        <x:v>650</x:v>
      </x:c>
      <x:c r="I38" s="32" t="n">
        <x:v>0.1</x:v>
      </x:c>
      <x:c r="J38" s="30" t="n">
        <x:v>3510</x:v>
      </x:c>
      <x:c r="K38" s="30" t="n">
        <x:v>2160</x:v>
      </x:c>
      <x:c r="L38" s="30" t="n">
        <x:v>1350</x:v>
      </x:c>
    </x:row>
    <x:row r="39">
      <x:c r="A39" t="str">
        <x:v>TX-0038</x:v>
      </x:c>
      <x:c r="B39" s="28" t="n">
        <x:v>46041</x:v>
      </x:c>
      <x:c r="C39" t="str">
        <x:v>Chattogram</x:v>
      </x:c>
      <x:c r="D39" t="str">
        <x:v>Store</x:v>
      </x:c>
      <x:c r="E39" t="str">
        <x:v>Sneakers</x:v>
      </x:c>
      <x:c r="F39" t="str">
        <x:v>Footwear</x:v>
      </x:c>
      <x:c r="G39" t="n">
        <x:v>6</x:v>
      </x:c>
      <x:c r="H39" s="30" t="n">
        <x:v>2400</x:v>
      </x:c>
      <x:c r="I39" s="32" t="n">
        <x:v>0.1</x:v>
      </x:c>
      <x:c r="J39" s="30" t="n">
        <x:v>12960</x:v>
      </x:c>
      <x:c r="K39" s="30" t="n">
        <x:v>9300</x:v>
      </x:c>
      <x:c r="L39" s="30" t="n">
        <x:v>3660</x:v>
      </x:c>
    </x:row>
    <x:row r="40">
      <x:c r="A40" t="str">
        <x:v>TX-0039</x:v>
      </x:c>
      <x:c r="B40" s="28" t="n">
        <x:v>46042</x:v>
      </x:c>
      <x:c r="C40" t="str">
        <x:v>Rajshahi</x:v>
      </x:c>
      <x:c r="D40" t="str">
        <x:v>Store</x:v>
      </x:c>
      <x:c r="E40" t="str">
        <x:v>Formal Shirt</x:v>
      </x:c>
      <x:c r="F40" t="str">
        <x:v>Apparel</x:v>
      </x:c>
      <x:c r="G40" t="n">
        <x:v>5</x:v>
      </x:c>
      <x:c r="H40" s="30" t="n">
        <x:v>1450</x:v>
      </x:c>
      <x:c r="I40" s="32" t="n">
        <x:v>0.1</x:v>
      </x:c>
      <x:c r="J40" s="30" t="n">
        <x:v>6525</x:v>
      </x:c>
      <x:c r="K40" s="30" t="n">
        <x:v>4400</x:v>
      </x:c>
      <x:c r="L40" s="30" t="n">
        <x:v>2125</x:v>
      </x:c>
    </x:row>
    <x:row r="41">
      <x:c r="A41" t="str">
        <x:v>TX-0040</x:v>
      </x:c>
      <x:c r="B41" s="28" t="n">
        <x:v>46042</x:v>
      </x:c>
      <x:c r="C41" t="str">
        <x:v>Khulna</x:v>
      </x:c>
      <x:c r="D41" t="str">
        <x:v>Online</x:v>
      </x:c>
      <x:c r="E41" t="str">
        <x:v>Sneakers</x:v>
      </x:c>
      <x:c r="F41" t="str">
        <x:v>Footwear</x:v>
      </x:c>
      <x:c r="G41" t="n">
        <x:v>3</x:v>
      </x:c>
      <x:c r="H41" s="30" t="n">
        <x:v>2400</x:v>
      </x:c>
      <x:c r="I41" s="32" t="n">
        <x:v>0.1</x:v>
      </x:c>
      <x:c r="J41" s="30" t="n">
        <x:v>6480</x:v>
      </x:c>
      <x:c r="K41" s="30" t="n">
        <x:v>4650</x:v>
      </x:c>
      <x:c r="L41" s="30" t="n">
        <x:v>1830</x:v>
      </x:c>
    </x:row>
    <x:row r="42">
      <x:c r="A42" t="str">
        <x:v>TX-0041</x:v>
      </x:c>
      <x:c r="B42" s="28" t="n">
        <x:v>46043</x:v>
      </x:c>
      <x:c r="C42" t="str">
        <x:v>Dhaka</x:v>
      </x:c>
      <x:c r="D42" t="str">
        <x:v>Online</x:v>
      </x:c>
      <x:c r="E42" t="str">
        <x:v>Notebook Set</x:v>
      </x:c>
      <x:c r="F42" t="str">
        <x:v>Stationery</x:v>
      </x:c>
      <x:c r="G42" t="n">
        <x:v>2</x:v>
      </x:c>
      <x:c r="H42" s="30" t="n">
        <x:v>320</x:v>
      </x:c>
      <x:c r="I42" s="32" t="n">
        <x:v>0.05</x:v>
      </x:c>
      <x:c r="J42" s="30" t="n">
        <x:v>608</x:v>
      </x:c>
      <x:c r="K42" s="30" t="n">
        <x:v>340</x:v>
      </x:c>
      <x:c r="L42" s="30" t="n">
        <x:v>268</x:v>
      </x:c>
    </x:row>
    <x:row r="43">
      <x:c r="A43" t="str">
        <x:v>TX-0042</x:v>
      </x:c>
      <x:c r="B43" s="28" t="n">
        <x:v>46043</x:v>
      </x:c>
      <x:c r="C43" t="str">
        <x:v>Chattogram</x:v>
      </x:c>
      <x:c r="D43" t="str">
        <x:v>Online</x:v>
      </x:c>
      <x:c r="E43" t="str">
        <x:v>T-Shirt</x:v>
      </x:c>
      <x:c r="F43" t="str">
        <x:v>Apparel</x:v>
      </x:c>
      <x:c r="G43" t="n">
        <x:v>2</x:v>
      </x:c>
      <x:c r="H43" s="30" t="n">
        <x:v>650</x:v>
      </x:c>
      <x:c r="I43" s="32" t="n">
        <x:v>0</x:v>
      </x:c>
      <x:c r="J43" s="30" t="n">
        <x:v>1300</x:v>
      </x:c>
      <x:c r="K43" s="30" t="n">
        <x:v>720</x:v>
      </x:c>
      <x:c r="L43" s="30" t="n">
        <x:v>580</x:v>
      </x:c>
    </x:row>
    <x:row r="44">
      <x:c r="A44" t="str">
        <x:v>TX-0043</x:v>
      </x:c>
      <x:c r="B44" s="28" t="n">
        <x:v>46044</x:v>
      </x:c>
      <x:c r="C44" t="str">
        <x:v>Rajshahi</x:v>
      </x:c>
      <x:c r="D44" t="str">
        <x:v>Partner</x:v>
      </x:c>
      <x:c r="E44" t="str">
        <x:v>Formal Shirt</x:v>
      </x:c>
      <x:c r="F44" t="str">
        <x:v>Apparel</x:v>
      </x:c>
      <x:c r="G44" t="n">
        <x:v>7</x:v>
      </x:c>
      <x:c r="H44" s="30" t="n">
        <x:v>1450</x:v>
      </x:c>
      <x:c r="I44" s="32" t="n">
        <x:v>0.15</x:v>
      </x:c>
      <x:c r="J44" s="30" t="n">
        <x:v>8627.5</x:v>
      </x:c>
      <x:c r="K44" s="30" t="n">
        <x:v>6160</x:v>
      </x:c>
      <x:c r="L44" s="30" t="n">
        <x:v>2467.5</x:v>
      </x:c>
    </x:row>
    <x:row r="45">
      <x:c r="A45" t="str">
        <x:v>TX-0044</x:v>
      </x:c>
      <x:c r="B45" s="28" t="n">
        <x:v>46044</x:v>
      </x:c>
      <x:c r="C45" t="str">
        <x:v>Khulna</x:v>
      </x:c>
      <x:c r="D45" t="str">
        <x:v>Partner</x:v>
      </x:c>
      <x:c r="E45" t="str">
        <x:v>Polo Shirt</x:v>
      </x:c>
      <x:c r="F45" t="str">
        <x:v>Apparel</x:v>
      </x:c>
      <x:c r="G45" t="n">
        <x:v>8</x:v>
      </x:c>
      <x:c r="H45" s="30" t="n">
        <x:v>1200</x:v>
      </x:c>
      <x:c r="I45" s="32" t="n">
        <x:v>0.1</x:v>
      </x:c>
      <x:c r="J45" s="30" t="n">
        <x:v>8640</x:v>
      </x:c>
      <x:c r="K45" s="30" t="n">
        <x:v>5760</x:v>
      </x:c>
      <x:c r="L45" s="30" t="n">
        <x:v>2880</x:v>
      </x:c>
    </x:row>
    <x:row r="46">
      <x:c r="A46" t="str">
        <x:v>TX-0045</x:v>
      </x:c>
      <x:c r="B46" s="28" t="n">
        <x:v>46045</x:v>
      </x:c>
      <x:c r="C46" t="str">
        <x:v>Dhaka</x:v>
      </x:c>
      <x:c r="D46" t="str">
        <x:v>Partner</x:v>
      </x:c>
      <x:c r="E46" t="str">
        <x:v>Formal Shirt</x:v>
      </x:c>
      <x:c r="F46" t="str">
        <x:v>Apparel</x:v>
      </x:c>
      <x:c r="G46" t="n">
        <x:v>5</x:v>
      </x:c>
      <x:c r="H46" s="30" t="n">
        <x:v>1450</x:v>
      </x:c>
      <x:c r="I46" s="32" t="n">
        <x:v>0.1</x:v>
      </x:c>
      <x:c r="J46" s="30" t="n">
        <x:v>6525</x:v>
      </x:c>
      <x:c r="K46" s="30" t="n">
        <x:v>4400</x:v>
      </x:c>
      <x:c r="L46" s="30" t="n">
        <x:v>2125</x:v>
      </x:c>
    </x:row>
    <x:row r="47">
      <x:c r="A47" t="str">
        <x:v>TX-0046</x:v>
      </x:c>
      <x:c r="B47" s="28" t="n">
        <x:v>46045</x:v>
      </x:c>
      <x:c r="C47" t="str">
        <x:v>Chattogram</x:v>
      </x:c>
      <x:c r="D47" t="str">
        <x:v>Store</x:v>
      </x:c>
      <x:c r="E47" t="str">
        <x:v>T-Shirt</x:v>
      </x:c>
      <x:c r="F47" t="str">
        <x:v>Apparel</x:v>
      </x:c>
      <x:c r="G47" t="n">
        <x:v>6</x:v>
      </x:c>
      <x:c r="H47" s="30" t="n">
        <x:v>650</x:v>
      </x:c>
      <x:c r="I47" s="32" t="n">
        <x:v>0</x:v>
      </x:c>
      <x:c r="J47" s="30" t="n">
        <x:v>3900</x:v>
      </x:c>
      <x:c r="K47" s="30" t="n">
        <x:v>2160</x:v>
      </x:c>
      <x:c r="L47" s="30" t="n">
        <x:v>1740</x:v>
      </x:c>
    </x:row>
    <x:row r="48">
      <x:c r="A48" t="str">
        <x:v>TX-0047</x:v>
      </x:c>
      <x:c r="B48" s="28" t="n">
        <x:v>46046</x:v>
      </x:c>
      <x:c r="C48" t="str">
        <x:v>Rajshahi</x:v>
      </x:c>
      <x:c r="D48" t="str">
        <x:v>Store</x:v>
      </x:c>
      <x:c r="E48" t="str">
        <x:v>Sneakers</x:v>
      </x:c>
      <x:c r="F48" t="str">
        <x:v>Footwear</x:v>
      </x:c>
      <x:c r="G48" t="n">
        <x:v>3</x:v>
      </x:c>
      <x:c r="H48" s="30" t="n">
        <x:v>2400</x:v>
      </x:c>
      <x:c r="I48" s="32" t="n">
        <x:v>0.05</x:v>
      </x:c>
      <x:c r="J48" s="30" t="n">
        <x:v>6840</x:v>
      </x:c>
      <x:c r="K48" s="30" t="n">
        <x:v>4650</x:v>
      </x:c>
      <x:c r="L48" s="30" t="n">
        <x:v>2190</x:v>
      </x:c>
    </x:row>
    <x:row r="49">
      <x:c r="A49" t="str">
        <x:v>TX-0048</x:v>
      </x:c>
      <x:c r="B49" s="28" t="n">
        <x:v>46046</x:v>
      </x:c>
      <x:c r="C49" t="str">
        <x:v>Khulna</x:v>
      </x:c>
      <x:c r="D49" t="str">
        <x:v>Store</x:v>
      </x:c>
      <x:c r="E49" t="str">
        <x:v>Polo Shirt</x:v>
      </x:c>
      <x:c r="F49" t="str">
        <x:v>Apparel</x:v>
      </x:c>
      <x:c r="G49" t="n">
        <x:v>5</x:v>
      </x:c>
      <x:c r="H49" s="30" t="n">
        <x:v>1200</x:v>
      </x:c>
      <x:c r="I49" s="32" t="n">
        <x:v>0.05</x:v>
      </x:c>
      <x:c r="J49" s="30" t="n">
        <x:v>5700</x:v>
      </x:c>
      <x:c r="K49" s="30" t="n">
        <x:v>3600</x:v>
      </x:c>
      <x:c r="L49" s="30" t="n">
        <x:v>2100</x:v>
      </x:c>
    </x:row>
    <x:row r="50">
      <x:c r="A50" t="str">
        <x:v>TX-0049</x:v>
      </x:c>
      <x:c r="B50" s="28" t="n">
        <x:v>46047</x:v>
      </x:c>
      <x:c r="C50" t="str">
        <x:v>Dhaka</x:v>
      </x:c>
      <x:c r="D50" t="str">
        <x:v>Online</x:v>
      </x:c>
      <x:c r="E50" t="str">
        <x:v>Formal Shirt</x:v>
      </x:c>
      <x:c r="F50" t="str">
        <x:v>Apparel</x:v>
      </x:c>
      <x:c r="G50" t="n">
        <x:v>3</x:v>
      </x:c>
      <x:c r="H50" s="30" t="n">
        <x:v>1450</x:v>
      </x:c>
      <x:c r="I50" s="32" t="n">
        <x:v>0</x:v>
      </x:c>
      <x:c r="J50" s="30" t="n">
        <x:v>4350</x:v>
      </x:c>
      <x:c r="K50" s="30" t="n">
        <x:v>2640</x:v>
      </x:c>
      <x:c r="L50" s="30" t="n">
        <x:v>1710</x:v>
      </x:c>
    </x:row>
    <x:row r="51">
      <x:c r="A51" t="str">
        <x:v>TX-0050</x:v>
      </x:c>
      <x:c r="B51" s="28" t="n">
        <x:v>46047</x:v>
      </x:c>
      <x:c r="C51" t="str">
        <x:v>Chattogram</x:v>
      </x:c>
      <x:c r="D51" t="str">
        <x:v>Online</x:v>
      </x:c>
      <x:c r="E51" t="str">
        <x:v>Backpack</x:v>
      </x:c>
      <x:c r="F51" t="str">
        <x:v>Accessories</x:v>
      </x:c>
      <x:c r="G51" t="n">
        <x:v>3</x:v>
      </x:c>
      <x:c r="H51" s="30" t="n">
        <x:v>1800</x:v>
      </x:c>
      <x:c r="I51" s="32" t="n">
        <x:v>0.05</x:v>
      </x:c>
      <x:c r="J51" s="30" t="n">
        <x:v>5130</x:v>
      </x:c>
      <x:c r="K51" s="30" t="n">
        <x:v>3360</x:v>
      </x:c>
      <x:c r="L51" s="30" t="n">
        <x:v>1770</x:v>
      </x:c>
    </x:row>
    <x:row r="52">
      <x:c r="A52" t="str">
        <x:v>TX-0051</x:v>
      </x:c>
      <x:c r="B52" s="28" t="n">
        <x:v>46048</x:v>
      </x:c>
      <x:c r="C52" t="str">
        <x:v>Rajshahi</x:v>
      </x:c>
      <x:c r="D52" t="str">
        <x:v>Online</x:v>
      </x:c>
      <x:c r="E52" t="str">
        <x:v>T-Shirt</x:v>
      </x:c>
      <x:c r="F52" t="str">
        <x:v>Apparel</x:v>
      </x:c>
      <x:c r="G52" t="n">
        <x:v>3</x:v>
      </x:c>
      <x:c r="H52" s="30" t="n">
        <x:v>650</x:v>
      </x:c>
      <x:c r="I52" s="32" t="n">
        <x:v>0</x:v>
      </x:c>
      <x:c r="J52" s="30" t="n">
        <x:v>1950</x:v>
      </x:c>
      <x:c r="K52" s="30" t="n">
        <x:v>1080</x:v>
      </x:c>
      <x:c r="L52" s="30" t="n">
        <x:v>870</x:v>
      </x:c>
    </x:row>
    <x:row r="53">
      <x:c r="A53" t="str">
        <x:v>TX-0052</x:v>
      </x:c>
      <x:c r="B53" s="28" t="n">
        <x:v>46048</x:v>
      </x:c>
      <x:c r="C53" t="str">
        <x:v>Khulna</x:v>
      </x:c>
      <x:c r="D53" t="str">
        <x:v>Partner</x:v>
      </x:c>
      <x:c r="E53" t="str">
        <x:v>Sneakers</x:v>
      </x:c>
      <x:c r="F53" t="str">
        <x:v>Footwear</x:v>
      </x:c>
      <x:c r="G53" t="n">
        <x:v>8</x:v>
      </x:c>
      <x:c r="H53" s="30" t="n">
        <x:v>2400</x:v>
      </x:c>
      <x:c r="I53" s="32" t="n">
        <x:v>0</x:v>
      </x:c>
      <x:c r="J53" s="30" t="n">
        <x:v>19200</x:v>
      </x:c>
      <x:c r="K53" s="30" t="n">
        <x:v>12400</x:v>
      </x:c>
      <x:c r="L53" s="30" t="n">
        <x:v>6800</x:v>
      </x:c>
    </x:row>
    <x:row r="54">
      <x:c r="A54" t="str">
        <x:v>TX-0053</x:v>
      </x:c>
      <x:c r="B54" s="28" t="n">
        <x:v>46049</x:v>
      </x:c>
      <x:c r="C54" t="str">
        <x:v>Dhaka</x:v>
      </x:c>
      <x:c r="D54" t="str">
        <x:v>Partner</x:v>
      </x:c>
      <x:c r="E54" t="str">
        <x:v>Backpack</x:v>
      </x:c>
      <x:c r="F54" t="str">
        <x:v>Accessories</x:v>
      </x:c>
      <x:c r="G54" t="n">
        <x:v>1</x:v>
      </x:c>
      <x:c r="H54" s="30" t="n">
        <x:v>1800</x:v>
      </x:c>
      <x:c r="I54" s="32" t="n">
        <x:v>0.15</x:v>
      </x:c>
      <x:c r="J54" s="30" t="n">
        <x:v>1530</x:v>
      </x:c>
      <x:c r="K54" s="30" t="n">
        <x:v>1120</x:v>
      </x:c>
      <x:c r="L54" s="30" t="n">
        <x:v>410</x:v>
      </x:c>
    </x:row>
    <x:row r="55">
      <x:c r="A55" t="str">
        <x:v>TX-0054</x:v>
      </x:c>
      <x:c r="B55" s="28" t="n">
        <x:v>46049</x:v>
      </x:c>
      <x:c r="C55" t="str">
        <x:v>Chattogram</x:v>
      </x:c>
      <x:c r="D55" t="str">
        <x:v>Partner</x:v>
      </x:c>
      <x:c r="E55" t="str">
        <x:v>Sneakers</x:v>
      </x:c>
      <x:c r="F55" t="str">
        <x:v>Footwear</x:v>
      </x:c>
      <x:c r="G55" t="n">
        <x:v>7</x:v>
      </x:c>
      <x:c r="H55" s="30" t="n">
        <x:v>2400</x:v>
      </x:c>
      <x:c r="I55" s="32" t="n">
        <x:v>0.15</x:v>
      </x:c>
      <x:c r="J55" s="30" t="n">
        <x:v>14280</x:v>
      </x:c>
      <x:c r="K55" s="30" t="n">
        <x:v>10850</x:v>
      </x:c>
      <x:c r="L55" s="30" t="n">
        <x:v>3430</x:v>
      </x:c>
    </x:row>
    <x:row r="56">
      <x:c r="A56" t="str">
        <x:v>TX-0055</x:v>
      </x:c>
      <x:c r="B56" s="28" t="n">
        <x:v>46050</x:v>
      </x:c>
      <x:c r="C56" t="str">
        <x:v>Rajshahi</x:v>
      </x:c>
      <x:c r="D56" t="str">
        <x:v>Store</x:v>
      </x:c>
      <x:c r="E56" t="str">
        <x:v>Formal Shirt</x:v>
      </x:c>
      <x:c r="F56" t="str">
        <x:v>Apparel</x:v>
      </x:c>
      <x:c r="G56" t="n">
        <x:v>5</x:v>
      </x:c>
      <x:c r="H56" s="30" t="n">
        <x:v>1450</x:v>
      </x:c>
      <x:c r="I56" s="32" t="n">
        <x:v>0.15</x:v>
      </x:c>
      <x:c r="J56" s="30" t="n">
        <x:v>6162.5</x:v>
      </x:c>
      <x:c r="K56" s="30" t="n">
        <x:v>4400</x:v>
      </x:c>
      <x:c r="L56" s="30" t="n">
        <x:v>1762.5</x:v>
      </x:c>
    </x:row>
    <x:row r="57">
      <x:c r="A57" t="str">
        <x:v>TX-0056</x:v>
      </x:c>
      <x:c r="B57" s="28" t="n">
        <x:v>46050</x:v>
      </x:c>
      <x:c r="C57" t="str">
        <x:v>Khulna</x:v>
      </x:c>
      <x:c r="D57" t="str">
        <x:v>Store</x:v>
      </x:c>
      <x:c r="E57" t="str">
        <x:v>Formal Shirt</x:v>
      </x:c>
      <x:c r="F57" t="str">
        <x:v>Apparel</x:v>
      </x:c>
      <x:c r="G57" t="n">
        <x:v>3</x:v>
      </x:c>
      <x:c r="H57" s="30" t="n">
        <x:v>1450</x:v>
      </x:c>
      <x:c r="I57" s="32" t="n">
        <x:v>0.05</x:v>
      </x:c>
      <x:c r="J57" s="30" t="n">
        <x:v>4132.5</x:v>
      </x:c>
      <x:c r="K57" s="30" t="n">
        <x:v>2640</x:v>
      </x:c>
      <x:c r="L57" s="30" t="n">
        <x:v>1492.5</x:v>
      </x:c>
    </x:row>
    <x:row r="58">
      <x:c r="A58" t="str">
        <x:v>TX-0057</x:v>
      </x:c>
      <x:c r="B58" s="28" t="n">
        <x:v>46051</x:v>
      </x:c>
      <x:c r="C58" t="str">
        <x:v>Dhaka</x:v>
      </x:c>
      <x:c r="D58" t="str">
        <x:v>Store</x:v>
      </x:c>
      <x:c r="E58" t="str">
        <x:v>T-Shirt</x:v>
      </x:c>
      <x:c r="F58" t="str">
        <x:v>Apparel</x:v>
      </x:c>
      <x:c r="G58" t="n">
        <x:v>4</x:v>
      </x:c>
      <x:c r="H58" s="30" t="n">
        <x:v>650</x:v>
      </x:c>
      <x:c r="I58" s="32" t="n">
        <x:v>0.1</x:v>
      </x:c>
      <x:c r="J58" s="30" t="n">
        <x:v>2340</x:v>
      </x:c>
      <x:c r="K58" s="30" t="n">
        <x:v>1440</x:v>
      </x:c>
      <x:c r="L58" s="30" t="n">
        <x:v>900</x:v>
      </x:c>
    </x:row>
    <x:row r="59">
      <x:c r="A59" t="str">
        <x:v>TX-0058</x:v>
      </x:c>
      <x:c r="B59" s="28" t="n">
        <x:v>46051</x:v>
      </x:c>
      <x:c r="C59" t="str">
        <x:v>Chattogram</x:v>
      </x:c>
      <x:c r="D59" t="str">
        <x:v>Online</x:v>
      </x:c>
      <x:c r="E59" t="str">
        <x:v>Polo Shirt</x:v>
      </x:c>
      <x:c r="F59" t="str">
        <x:v>Apparel</x:v>
      </x:c>
      <x:c r="G59" t="n">
        <x:v>1</x:v>
      </x:c>
      <x:c r="H59" s="30" t="n">
        <x:v>1200</x:v>
      </x:c>
      <x:c r="I59" s="32" t="n">
        <x:v>0.1</x:v>
      </x:c>
      <x:c r="J59" s="30" t="n">
        <x:v>1080</x:v>
      </x:c>
      <x:c r="K59" s="30" t="n">
        <x:v>720</x:v>
      </x:c>
      <x:c r="L59" s="30" t="n">
        <x:v>360</x:v>
      </x:c>
    </x:row>
    <x:row r="60">
      <x:c r="A60" t="str">
        <x:v>TX-0059</x:v>
      </x:c>
      <x:c r="B60" s="28" t="n">
        <x:v>46052</x:v>
      </x:c>
      <x:c r="C60" t="str">
        <x:v>Rajshahi</x:v>
      </x:c>
      <x:c r="D60" t="str">
        <x:v>Online</x:v>
      </x:c>
      <x:c r="E60" t="str">
        <x:v>Backpack</x:v>
      </x:c>
      <x:c r="F60" t="str">
        <x:v>Accessories</x:v>
      </x:c>
      <x:c r="G60" t="n">
        <x:v>8</x:v>
      </x:c>
      <x:c r="H60" s="30" t="n">
        <x:v>1800</x:v>
      </x:c>
      <x:c r="I60" s="32" t="n">
        <x:v>0</x:v>
      </x:c>
      <x:c r="J60" s="30" t="n">
        <x:v>14400</x:v>
      </x:c>
      <x:c r="K60" s="30" t="n">
        <x:v>8960</x:v>
      </x:c>
      <x:c r="L60" s="30" t="n">
        <x:v>5440</x:v>
      </x:c>
    </x:row>
    <x:row r="61">
      <x:c r="A61" t="str">
        <x:v>TX-0060</x:v>
      </x:c>
      <x:c r="B61" s="28" t="n">
        <x:v>46052</x:v>
      </x:c>
      <x:c r="C61" t="str">
        <x:v>Khulna</x:v>
      </x:c>
      <x:c r="D61" t="str">
        <x:v>Online</x:v>
      </x:c>
      <x:c r="E61" t="str">
        <x:v>Polo Shirt</x:v>
      </x:c>
      <x:c r="F61" t="str">
        <x:v>Apparel</x:v>
      </x:c>
      <x:c r="G61" t="n">
        <x:v>6</x:v>
      </x:c>
      <x:c r="H61" s="30" t="n">
        <x:v>1200</x:v>
      </x:c>
      <x:c r="I61" s="32" t="n">
        <x:v>0</x:v>
      </x:c>
      <x:c r="J61" s="30" t="n">
        <x:v>7200</x:v>
      </x:c>
      <x:c r="K61" s="30" t="n">
        <x:v>4320</x:v>
      </x:c>
      <x:c r="L61" s="30" t="n">
        <x:v>2880</x:v>
      </x:c>
    </x:row>
    <x:row r="62">
      <x:c r="A62" t="str">
        <x:v>TX-0061</x:v>
      </x:c>
      <x:c r="B62" s="28" t="n">
        <x:v>46053</x:v>
      </x:c>
      <x:c r="C62" t="str">
        <x:v>Dhaka</x:v>
      </x:c>
      <x:c r="D62" t="str">
        <x:v>Partner</x:v>
      </x:c>
      <x:c r="E62" t="str">
        <x:v>T-Shirt</x:v>
      </x:c>
      <x:c r="F62" t="str">
        <x:v>Apparel</x:v>
      </x:c>
      <x:c r="G62" t="n">
        <x:v>8</x:v>
      </x:c>
      <x:c r="H62" s="30" t="n">
        <x:v>650</x:v>
      </x:c>
      <x:c r="I62" s="32" t="n">
        <x:v>0</x:v>
      </x:c>
      <x:c r="J62" s="30" t="n">
        <x:v>5200</x:v>
      </x:c>
      <x:c r="K62" s="30" t="n">
        <x:v>2880</x:v>
      </x:c>
      <x:c r="L62" s="30" t="n">
        <x:v>2320</x:v>
      </x:c>
    </x:row>
    <x:row r="63">
      <x:c r="A63" t="str">
        <x:v>TX-0062</x:v>
      </x:c>
      <x:c r="B63" s="28" t="n">
        <x:v>46053</x:v>
      </x:c>
      <x:c r="C63" t="str">
        <x:v>Chattogram</x:v>
      </x:c>
      <x:c r="D63" t="str">
        <x:v>Partner</x:v>
      </x:c>
      <x:c r="E63" t="str">
        <x:v>Notebook Set</x:v>
      </x:c>
      <x:c r="F63" t="str">
        <x:v>Stationery</x:v>
      </x:c>
      <x:c r="G63" t="n">
        <x:v>7</x:v>
      </x:c>
      <x:c r="H63" s="30" t="n">
        <x:v>320</x:v>
      </x:c>
      <x:c r="I63" s="32" t="n">
        <x:v>0.05</x:v>
      </x:c>
      <x:c r="J63" s="30" t="n">
        <x:v>2128</x:v>
      </x:c>
      <x:c r="K63" s="30" t="n">
        <x:v>1190</x:v>
      </x:c>
      <x:c r="L63" s="30" t="n">
        <x:v>938</x:v>
      </x:c>
    </x:row>
    <x:row r="64">
      <x:c r="A64" t="str">
        <x:v>TX-0063</x:v>
      </x:c>
      <x:c r="B64" s="28" t="n">
        <x:v>46054</x:v>
      </x:c>
      <x:c r="C64" t="str">
        <x:v>Rajshahi</x:v>
      </x:c>
      <x:c r="D64" t="str">
        <x:v>Partner</x:v>
      </x:c>
      <x:c r="E64" t="str">
        <x:v>Sneakers</x:v>
      </x:c>
      <x:c r="F64" t="str">
        <x:v>Footwear</x:v>
      </x:c>
      <x:c r="G64" t="n">
        <x:v>5</x:v>
      </x:c>
      <x:c r="H64" s="30" t="n">
        <x:v>2400</x:v>
      </x:c>
      <x:c r="I64" s="32" t="n">
        <x:v>0.1</x:v>
      </x:c>
      <x:c r="J64" s="30" t="n">
        <x:v>10800</x:v>
      </x:c>
      <x:c r="K64" s="30" t="n">
        <x:v>7750</x:v>
      </x:c>
      <x:c r="L64" s="30" t="n">
        <x:v>3050</x:v>
      </x:c>
    </x:row>
    <x:row r="65">
      <x:c r="A65" t="str">
        <x:v>TX-0064</x:v>
      </x:c>
      <x:c r="B65" s="28" t="n">
        <x:v>46054</x:v>
      </x:c>
      <x:c r="C65" t="str">
        <x:v>Khulna</x:v>
      </x:c>
      <x:c r="D65" t="str">
        <x:v>Store</x:v>
      </x:c>
      <x:c r="E65" t="str">
        <x:v>Notebook Set</x:v>
      </x:c>
      <x:c r="F65" t="str">
        <x:v>Stationery</x:v>
      </x:c>
      <x:c r="G65" t="n">
        <x:v>3</x:v>
      </x:c>
      <x:c r="H65" s="30" t="n">
        <x:v>320</x:v>
      </x:c>
      <x:c r="I65" s="32" t="n">
        <x:v>0.1</x:v>
      </x:c>
      <x:c r="J65" s="30" t="n">
        <x:v>864</x:v>
      </x:c>
      <x:c r="K65" s="30" t="n">
        <x:v>510</x:v>
      </x:c>
      <x:c r="L65" s="30" t="n">
        <x:v>354</x:v>
      </x:c>
    </x:row>
    <x:row r="66">
      <x:c r="A66" t="str">
        <x:v>TX-0065</x:v>
      </x:c>
      <x:c r="B66" s="28" t="n">
        <x:v>46055</x:v>
      </x:c>
      <x:c r="C66" t="str">
        <x:v>Dhaka</x:v>
      </x:c>
      <x:c r="D66" t="str">
        <x:v>Store</x:v>
      </x:c>
      <x:c r="E66" t="str">
        <x:v>Polo Shirt</x:v>
      </x:c>
      <x:c r="F66" t="str">
        <x:v>Apparel</x:v>
      </x:c>
      <x:c r="G66" t="n">
        <x:v>3</x:v>
      </x:c>
      <x:c r="H66" s="30" t="n">
        <x:v>1200</x:v>
      </x:c>
      <x:c r="I66" s="32" t="n">
        <x:v>0.15</x:v>
      </x:c>
      <x:c r="J66" s="30" t="n">
        <x:v>3060</x:v>
      </x:c>
      <x:c r="K66" s="30" t="n">
        <x:v>2160</x:v>
      </x:c>
      <x:c r="L66" s="30" t="n">
        <x:v>900</x:v>
      </x:c>
    </x:row>
    <x:row r="67">
      <x:c r="A67" t="str">
        <x:v>TX-0066</x:v>
      </x:c>
      <x:c r="B67" s="28" t="n">
        <x:v>46055</x:v>
      </x:c>
      <x:c r="C67" t="str">
        <x:v>Chattogram</x:v>
      </x:c>
      <x:c r="D67" t="str">
        <x:v>Store</x:v>
      </x:c>
      <x:c r="E67" t="str">
        <x:v>Sneakers</x:v>
      </x:c>
      <x:c r="F67" t="str">
        <x:v>Footwear</x:v>
      </x:c>
      <x:c r="G67" t="n">
        <x:v>1</x:v>
      </x:c>
      <x:c r="H67" s="30" t="n">
        <x:v>2400</x:v>
      </x:c>
      <x:c r="I67" s="32" t="n">
        <x:v>0.15</x:v>
      </x:c>
      <x:c r="J67" s="30" t="n">
        <x:v>2040</x:v>
      </x:c>
      <x:c r="K67" s="30" t="n">
        <x:v>1550</x:v>
      </x:c>
      <x:c r="L67" s="30" t="n">
        <x:v>490</x:v>
      </x:c>
    </x:row>
    <x:row r="68">
      <x:c r="A68" t="str">
        <x:v>TX-0067</x:v>
      </x:c>
      <x:c r="B68" s="28" t="n">
        <x:v>46056</x:v>
      </x:c>
      <x:c r="C68" t="str">
        <x:v>Rajshahi</x:v>
      </x:c>
      <x:c r="D68" t="str">
        <x:v>Online</x:v>
      </x:c>
      <x:c r="E68" t="str">
        <x:v>Backpack</x:v>
      </x:c>
      <x:c r="F68" t="str">
        <x:v>Accessories</x:v>
      </x:c>
      <x:c r="G68" t="n">
        <x:v>1</x:v>
      </x:c>
      <x:c r="H68" s="30" t="n">
        <x:v>1800</x:v>
      </x:c>
      <x:c r="I68" s="32" t="n">
        <x:v>0.05</x:v>
      </x:c>
      <x:c r="J68" s="30" t="n">
        <x:v>1710</x:v>
      </x:c>
      <x:c r="K68" s="30" t="n">
        <x:v>1120</x:v>
      </x:c>
      <x:c r="L68" s="30" t="n">
        <x:v>590</x:v>
      </x:c>
    </x:row>
    <x:row r="69">
      <x:c r="A69" t="str">
        <x:v>TX-0068</x:v>
      </x:c>
      <x:c r="B69" s="28" t="n">
        <x:v>46056</x:v>
      </x:c>
      <x:c r="C69" t="str">
        <x:v>Khulna</x:v>
      </x:c>
      <x:c r="D69" t="str">
        <x:v>Online</x:v>
      </x:c>
      <x:c r="E69" t="str">
        <x:v>Sneakers</x:v>
      </x:c>
      <x:c r="F69" t="str">
        <x:v>Footwear</x:v>
      </x:c>
      <x:c r="G69" t="n">
        <x:v>8</x:v>
      </x:c>
      <x:c r="H69" s="30" t="n">
        <x:v>2400</x:v>
      </x:c>
      <x:c r="I69" s="32" t="n">
        <x:v>0</x:v>
      </x:c>
      <x:c r="J69" s="30" t="n">
        <x:v>19200</x:v>
      </x:c>
      <x:c r="K69" s="30" t="n">
        <x:v>12400</x:v>
      </x:c>
      <x:c r="L69" s="30" t="n">
        <x:v>6800</x:v>
      </x:c>
    </x:row>
    <x:row r="70">
      <x:c r="A70" t="str">
        <x:v>TX-0069</x:v>
      </x:c>
      <x:c r="B70" s="28" t="n">
        <x:v>46057</x:v>
      </x:c>
      <x:c r="C70" t="str">
        <x:v>Dhaka</x:v>
      </x:c>
      <x:c r="D70" t="str">
        <x:v>Online</x:v>
      </x:c>
      <x:c r="E70" t="str">
        <x:v>Formal Shirt</x:v>
      </x:c>
      <x:c r="F70" t="str">
        <x:v>Apparel</x:v>
      </x:c>
      <x:c r="G70" t="n">
        <x:v>7</x:v>
      </x:c>
      <x:c r="H70" s="30" t="n">
        <x:v>1450</x:v>
      </x:c>
      <x:c r="I70" s="32" t="n">
        <x:v>0.1</x:v>
      </x:c>
      <x:c r="J70" s="30" t="n">
        <x:v>9135</x:v>
      </x:c>
      <x:c r="K70" s="30" t="n">
        <x:v>6160</x:v>
      </x:c>
      <x:c r="L70" s="30" t="n">
        <x:v>2975</x:v>
      </x:c>
    </x:row>
    <x:row r="71">
      <x:c r="A71" t="str">
        <x:v>TX-0070</x:v>
      </x:c>
      <x:c r="B71" s="28" t="n">
        <x:v>46057</x:v>
      </x:c>
      <x:c r="C71" t="str">
        <x:v>Chattogram</x:v>
      </x:c>
      <x:c r="D71" t="str">
        <x:v>Partner</x:v>
      </x:c>
      <x:c r="E71" t="str">
        <x:v>Sneakers</x:v>
      </x:c>
      <x:c r="F71" t="str">
        <x:v>Footwear</x:v>
      </x:c>
      <x:c r="G71" t="n">
        <x:v>7</x:v>
      </x:c>
      <x:c r="H71" s="30" t="n">
        <x:v>2400</x:v>
      </x:c>
      <x:c r="I71" s="32" t="n">
        <x:v>0.1</x:v>
      </x:c>
      <x:c r="J71" s="30" t="n">
        <x:v>15120</x:v>
      </x:c>
      <x:c r="K71" s="30" t="n">
        <x:v>10850</x:v>
      </x:c>
      <x:c r="L71" s="30" t="n">
        <x:v>4270</x:v>
      </x:c>
    </x:row>
    <x:row r="72">
      <x:c r="A72" t="str">
        <x:v>TX-0071</x:v>
      </x:c>
      <x:c r="B72" s="28" t="n">
        <x:v>46058</x:v>
      </x:c>
      <x:c r="C72" t="str">
        <x:v>Rajshahi</x:v>
      </x:c>
      <x:c r="D72" t="str">
        <x:v>Partner</x:v>
      </x:c>
      <x:c r="E72" t="str">
        <x:v>Sneakers</x:v>
      </x:c>
      <x:c r="F72" t="str">
        <x:v>Footwear</x:v>
      </x:c>
      <x:c r="G72" t="n">
        <x:v>6</x:v>
      </x:c>
      <x:c r="H72" s="30" t="n">
        <x:v>2400</x:v>
      </x:c>
      <x:c r="I72" s="32" t="n">
        <x:v>0.15</x:v>
      </x:c>
      <x:c r="J72" s="30" t="n">
        <x:v>12240</x:v>
      </x:c>
      <x:c r="K72" s="30" t="n">
        <x:v>9300</x:v>
      </x:c>
      <x:c r="L72" s="30" t="n">
        <x:v>2940</x:v>
      </x:c>
    </x:row>
    <x:row r="73">
      <x:c r="A73" t="str">
        <x:v>TX-0072</x:v>
      </x:c>
      <x:c r="B73" s="28" t="n">
        <x:v>46058</x:v>
      </x:c>
      <x:c r="C73" t="str">
        <x:v>Khulna</x:v>
      </x:c>
      <x:c r="D73" t="str">
        <x:v>Partner</x:v>
      </x:c>
      <x:c r="E73" t="str">
        <x:v>Polo Shirt</x:v>
      </x:c>
      <x:c r="F73" t="str">
        <x:v>Apparel</x:v>
      </x:c>
      <x:c r="G73" t="n">
        <x:v>6</x:v>
      </x:c>
      <x:c r="H73" s="30" t="n">
        <x:v>1200</x:v>
      </x:c>
      <x:c r="I73" s="32" t="n">
        <x:v>0</x:v>
      </x:c>
      <x:c r="J73" s="30" t="n">
        <x:v>7200</x:v>
      </x:c>
      <x:c r="K73" s="30" t="n">
        <x:v>4320</x:v>
      </x:c>
      <x:c r="L73" s="30" t="n">
        <x:v>2880</x:v>
      </x:c>
    </x:row>
    <x:row r="74">
      <x:c r="A74" t="str">
        <x:v>TX-0073</x:v>
      </x:c>
      <x:c r="B74" s="28" t="n">
        <x:v>46059</x:v>
      </x:c>
      <x:c r="C74" t="str">
        <x:v>Dhaka</x:v>
      </x:c>
      <x:c r="D74" t="str">
        <x:v>Store</x:v>
      </x:c>
      <x:c r="E74" t="str">
        <x:v>Sneakers</x:v>
      </x:c>
      <x:c r="F74" t="str">
        <x:v>Footwear</x:v>
      </x:c>
      <x:c r="G74" t="n">
        <x:v>3</x:v>
      </x:c>
      <x:c r="H74" s="30" t="n">
        <x:v>2400</x:v>
      </x:c>
      <x:c r="I74" s="32" t="n">
        <x:v>0</x:v>
      </x:c>
      <x:c r="J74" s="30" t="n">
        <x:v>7200</x:v>
      </x:c>
      <x:c r="K74" s="30" t="n">
        <x:v>4650</x:v>
      </x:c>
      <x:c r="L74" s="30" t="n">
        <x:v>2550</x:v>
      </x:c>
    </x:row>
    <x:row r="75">
      <x:c r="A75" t="str">
        <x:v>TX-0074</x:v>
      </x:c>
      <x:c r="B75" s="28" t="n">
        <x:v>46059</x:v>
      </x:c>
      <x:c r="C75" t="str">
        <x:v>Chattogram</x:v>
      </x:c>
      <x:c r="D75" t="str">
        <x:v>Store</x:v>
      </x:c>
      <x:c r="E75" t="str">
        <x:v>Polo Shirt</x:v>
      </x:c>
      <x:c r="F75" t="str">
        <x:v>Apparel</x:v>
      </x:c>
      <x:c r="G75" t="n">
        <x:v>4</x:v>
      </x:c>
      <x:c r="H75" s="30" t="n">
        <x:v>1200</x:v>
      </x:c>
      <x:c r="I75" s="32" t="n">
        <x:v>0</x:v>
      </x:c>
      <x:c r="J75" s="30" t="n">
        <x:v>4800</x:v>
      </x:c>
      <x:c r="K75" s="30" t="n">
        <x:v>2880</x:v>
      </x:c>
      <x:c r="L75" s="30" t="n">
        <x:v>1920</x:v>
      </x:c>
    </x:row>
    <x:row r="76">
      <x:c r="A76" t="str">
        <x:v>TX-0075</x:v>
      </x:c>
      <x:c r="B76" s="28" t="n">
        <x:v>46060</x:v>
      </x:c>
      <x:c r="C76" t="str">
        <x:v>Rajshahi</x:v>
      </x:c>
      <x:c r="D76" t="str">
        <x:v>Store</x:v>
      </x:c>
      <x:c r="E76" t="str">
        <x:v>Formal Shirt</x:v>
      </x:c>
      <x:c r="F76" t="str">
        <x:v>Apparel</x:v>
      </x:c>
      <x:c r="G76" t="n">
        <x:v>2</x:v>
      </x:c>
      <x:c r="H76" s="30" t="n">
        <x:v>1450</x:v>
      </x:c>
      <x:c r="I76" s="32" t="n">
        <x:v>0.15</x:v>
      </x:c>
      <x:c r="J76" s="30" t="n">
        <x:v>2465</x:v>
      </x:c>
      <x:c r="K76" s="30" t="n">
        <x:v>1760</x:v>
      </x:c>
      <x:c r="L76" s="30" t="n">
        <x:v>705</x:v>
      </x:c>
    </x:row>
    <x:row r="77">
      <x:c r="A77" t="str">
        <x:v>TX-0076</x:v>
      </x:c>
      <x:c r="B77" s="28" t="n">
        <x:v>46060</x:v>
      </x:c>
      <x:c r="C77" t="str">
        <x:v>Khulna</x:v>
      </x:c>
      <x:c r="D77" t="str">
        <x:v>Online</x:v>
      </x:c>
      <x:c r="E77" t="str">
        <x:v>Notebook Set</x:v>
      </x:c>
      <x:c r="F77" t="str">
        <x:v>Stationery</x:v>
      </x:c>
      <x:c r="G77" t="n">
        <x:v>6</x:v>
      </x:c>
      <x:c r="H77" s="30" t="n">
        <x:v>320</x:v>
      </x:c>
      <x:c r="I77" s="32" t="n">
        <x:v>0</x:v>
      </x:c>
      <x:c r="J77" s="30" t="n">
        <x:v>1920</x:v>
      </x:c>
      <x:c r="K77" s="30" t="n">
        <x:v>1020</x:v>
      </x:c>
      <x:c r="L77" s="30" t="n">
        <x:v>900</x:v>
      </x:c>
    </x:row>
    <x:row r="78">
      <x:c r="A78" t="str">
        <x:v>TX-0077</x:v>
      </x:c>
      <x:c r="B78" s="28" t="n">
        <x:v>46061</x:v>
      </x:c>
      <x:c r="C78" t="str">
        <x:v>Dhaka</x:v>
      </x:c>
      <x:c r="D78" t="str">
        <x:v>Online</x:v>
      </x:c>
      <x:c r="E78" t="str">
        <x:v>Backpack</x:v>
      </x:c>
      <x:c r="F78" t="str">
        <x:v>Accessories</x:v>
      </x:c>
      <x:c r="G78" t="n">
        <x:v>6</x:v>
      </x:c>
      <x:c r="H78" s="30" t="n">
        <x:v>1800</x:v>
      </x:c>
      <x:c r="I78" s="32" t="n">
        <x:v>0</x:v>
      </x:c>
      <x:c r="J78" s="30" t="n">
        <x:v>10800</x:v>
      </x:c>
      <x:c r="K78" s="30" t="n">
        <x:v>6720</x:v>
      </x:c>
      <x:c r="L78" s="30" t="n">
        <x:v>4080</x:v>
      </x:c>
    </x:row>
    <x:row r="79">
      <x:c r="A79" t="str">
        <x:v>TX-0078</x:v>
      </x:c>
      <x:c r="B79" s="28" t="n">
        <x:v>46061</x:v>
      </x:c>
      <x:c r="C79" t="str">
        <x:v>Chattogram</x:v>
      </x:c>
      <x:c r="D79" t="str">
        <x:v>Online</x:v>
      </x:c>
      <x:c r="E79" t="str">
        <x:v>Formal Shirt</x:v>
      </x:c>
      <x:c r="F79" t="str">
        <x:v>Apparel</x:v>
      </x:c>
      <x:c r="G79" t="n">
        <x:v>8</x:v>
      </x:c>
      <x:c r="H79" s="30" t="n">
        <x:v>1450</x:v>
      </x:c>
      <x:c r="I79" s="32" t="n">
        <x:v>0.15</x:v>
      </x:c>
      <x:c r="J79" s="30" t="n">
        <x:v>9860</x:v>
      </x:c>
      <x:c r="K79" s="30" t="n">
        <x:v>7040</x:v>
      </x:c>
      <x:c r="L79" s="30" t="n">
        <x:v>2820</x:v>
      </x:c>
    </x:row>
    <x:row r="80">
      <x:c r="A80" t="str">
        <x:v>TX-0079</x:v>
      </x:c>
      <x:c r="B80" s="28" t="n">
        <x:v>46062</x:v>
      </x:c>
      <x:c r="C80" t="str">
        <x:v>Rajshahi</x:v>
      </x:c>
      <x:c r="D80" t="str">
        <x:v>Partner</x:v>
      </x:c>
      <x:c r="E80" t="str">
        <x:v>T-Shirt</x:v>
      </x:c>
      <x:c r="F80" t="str">
        <x:v>Apparel</x:v>
      </x:c>
      <x:c r="G80" t="n">
        <x:v>6</x:v>
      </x:c>
      <x:c r="H80" s="30" t="n">
        <x:v>650</x:v>
      </x:c>
      <x:c r="I80" s="32" t="n">
        <x:v>0.05</x:v>
      </x:c>
      <x:c r="J80" s="30" t="n">
        <x:v>3705</x:v>
      </x:c>
      <x:c r="K80" s="30" t="n">
        <x:v>2160</x:v>
      </x:c>
      <x:c r="L80" s="30" t="n">
        <x:v>1545</x:v>
      </x:c>
    </x:row>
    <x:row r="81">
      <x:c r="A81" t="str">
        <x:v>TX-0080</x:v>
      </x:c>
      <x:c r="B81" s="28" t="n">
        <x:v>46062</x:v>
      </x:c>
      <x:c r="C81" t="str">
        <x:v>Khulna</x:v>
      </x:c>
      <x:c r="D81" t="str">
        <x:v>Partner</x:v>
      </x:c>
      <x:c r="E81" t="str">
        <x:v>Sneakers</x:v>
      </x:c>
      <x:c r="F81" t="str">
        <x:v>Footwear</x:v>
      </x:c>
      <x:c r="G81" t="n">
        <x:v>6</x:v>
      </x:c>
      <x:c r="H81" s="30" t="n">
        <x:v>2400</x:v>
      </x:c>
      <x:c r="I81" s="32" t="n">
        <x:v>0.15</x:v>
      </x:c>
      <x:c r="J81" s="30" t="n">
        <x:v>12240</x:v>
      </x:c>
      <x:c r="K81" s="30" t="n">
        <x:v>9300</x:v>
      </x:c>
      <x:c r="L81" s="30" t="n">
        <x:v>2940</x:v>
      </x:c>
    </x:row>
    <x:row r="82">
      <x:c r="A82" t="str">
        <x:v>TX-0081</x:v>
      </x:c>
      <x:c r="B82" s="28" t="n">
        <x:v>46063</x:v>
      </x:c>
      <x:c r="C82" t="str">
        <x:v>Dhaka</x:v>
      </x:c>
      <x:c r="D82" t="str">
        <x:v>Partner</x:v>
      </x:c>
      <x:c r="E82" t="str">
        <x:v>Formal Shirt</x:v>
      </x:c>
      <x:c r="F82" t="str">
        <x:v>Apparel</x:v>
      </x:c>
      <x:c r="G82" t="n">
        <x:v>5</x:v>
      </x:c>
      <x:c r="H82" s="30" t="n">
        <x:v>1450</x:v>
      </x:c>
      <x:c r="I82" s="32" t="n">
        <x:v>0.15</x:v>
      </x:c>
      <x:c r="J82" s="30" t="n">
        <x:v>6162.5</x:v>
      </x:c>
      <x:c r="K82" s="30" t="n">
        <x:v>4400</x:v>
      </x:c>
      <x:c r="L82" s="30" t="n">
        <x:v>1762.5</x:v>
      </x:c>
    </x:row>
    <x:row r="83">
      <x:c r="A83" t="str">
        <x:v>TX-0082</x:v>
      </x:c>
      <x:c r="B83" s="28" t="n">
        <x:v>46063</x:v>
      </x:c>
      <x:c r="C83" t="str">
        <x:v>Chattogram</x:v>
      </x:c>
      <x:c r="D83" t="str">
        <x:v>Store</x:v>
      </x:c>
      <x:c r="E83" t="str">
        <x:v>Polo Shirt</x:v>
      </x:c>
      <x:c r="F83" t="str">
        <x:v>Apparel</x:v>
      </x:c>
      <x:c r="G83" t="n">
        <x:v>4</x:v>
      </x:c>
      <x:c r="H83" s="30" t="n">
        <x:v>1200</x:v>
      </x:c>
      <x:c r="I83" s="32" t="n">
        <x:v>0.1</x:v>
      </x:c>
      <x:c r="J83" s="30" t="n">
        <x:v>4320</x:v>
      </x:c>
      <x:c r="K83" s="30" t="n">
        <x:v>2880</x:v>
      </x:c>
      <x:c r="L83" s="30" t="n">
        <x:v>1440</x:v>
      </x:c>
    </x:row>
    <x:row r="84">
      <x:c r="A84" t="str">
        <x:v>TX-0083</x:v>
      </x:c>
      <x:c r="B84" s="28" t="n">
        <x:v>46064</x:v>
      </x:c>
      <x:c r="C84" t="str">
        <x:v>Rajshahi</x:v>
      </x:c>
      <x:c r="D84" t="str">
        <x:v>Store</x:v>
      </x:c>
      <x:c r="E84" t="str">
        <x:v>T-Shirt</x:v>
      </x:c>
      <x:c r="F84" t="str">
        <x:v>Apparel</x:v>
      </x:c>
      <x:c r="G84" t="n">
        <x:v>2</x:v>
      </x:c>
      <x:c r="H84" s="30" t="n">
        <x:v>650</x:v>
      </x:c>
      <x:c r="I84" s="32" t="n">
        <x:v>0</x:v>
      </x:c>
      <x:c r="J84" s="30" t="n">
        <x:v>1300</x:v>
      </x:c>
      <x:c r="K84" s="30" t="n">
        <x:v>720</x:v>
      </x:c>
      <x:c r="L84" s="30" t="n">
        <x:v>580</x:v>
      </x:c>
    </x:row>
    <x:row r="85">
      <x:c r="A85" t="str">
        <x:v>TX-0084</x:v>
      </x:c>
      <x:c r="B85" s="28" t="n">
        <x:v>46064</x:v>
      </x:c>
      <x:c r="C85" t="str">
        <x:v>Khulna</x:v>
      </x:c>
      <x:c r="D85" t="str">
        <x:v>Store</x:v>
      </x:c>
      <x:c r="E85" t="str">
        <x:v>Formal Shirt</x:v>
      </x:c>
      <x:c r="F85" t="str">
        <x:v>Apparel</x:v>
      </x:c>
      <x:c r="G85" t="n">
        <x:v>6</x:v>
      </x:c>
      <x:c r="H85" s="30" t="n">
        <x:v>1450</x:v>
      </x:c>
      <x:c r="I85" s="32" t="n">
        <x:v>0.1</x:v>
      </x:c>
      <x:c r="J85" s="30" t="n">
        <x:v>7830</x:v>
      </x:c>
      <x:c r="K85" s="30" t="n">
        <x:v>5280</x:v>
      </x:c>
      <x:c r="L85" s="30" t="n">
        <x:v>2550</x:v>
      </x:c>
    </x:row>
    <x:row r="86">
      <x:c r="A86" t="str">
        <x:v>TX-0085</x:v>
      </x:c>
      <x:c r="B86" s="28" t="n">
        <x:v>46065</x:v>
      </x:c>
      <x:c r="C86" t="str">
        <x:v>Dhaka</x:v>
      </x:c>
      <x:c r="D86" t="str">
        <x:v>Online</x:v>
      </x:c>
      <x:c r="E86" t="str">
        <x:v>Sneakers</x:v>
      </x:c>
      <x:c r="F86" t="str">
        <x:v>Footwear</x:v>
      </x:c>
      <x:c r="G86" t="n">
        <x:v>5</x:v>
      </x:c>
      <x:c r="H86" s="30" t="n">
        <x:v>2400</x:v>
      </x:c>
      <x:c r="I86" s="32" t="n">
        <x:v>0.15</x:v>
      </x:c>
      <x:c r="J86" s="30" t="n">
        <x:v>10200</x:v>
      </x:c>
      <x:c r="K86" s="30" t="n">
        <x:v>7750</x:v>
      </x:c>
      <x:c r="L86" s="30" t="n">
        <x:v>2450</x:v>
      </x:c>
    </x:row>
    <x:row r="87">
      <x:c r="A87" t="str">
        <x:v>TX-0086</x:v>
      </x:c>
      <x:c r="B87" s="28" t="n">
        <x:v>46065</x:v>
      </x:c>
      <x:c r="C87" t="str">
        <x:v>Chattogram</x:v>
      </x:c>
      <x:c r="D87" t="str">
        <x:v>Online</x:v>
      </x:c>
      <x:c r="E87" t="str">
        <x:v>Sneakers</x:v>
      </x:c>
      <x:c r="F87" t="str">
        <x:v>Footwear</x:v>
      </x:c>
      <x:c r="G87" t="n">
        <x:v>5</x:v>
      </x:c>
      <x:c r="H87" s="30" t="n">
        <x:v>2400</x:v>
      </x:c>
      <x:c r="I87" s="32" t="n">
        <x:v>0.15</x:v>
      </x:c>
      <x:c r="J87" s="30" t="n">
        <x:v>10200</x:v>
      </x:c>
      <x:c r="K87" s="30" t="n">
        <x:v>7750</x:v>
      </x:c>
      <x:c r="L87" s="30" t="n">
        <x:v>2450</x:v>
      </x:c>
    </x:row>
    <x:row r="88">
      <x:c r="A88" t="str">
        <x:v>TX-0087</x:v>
      </x:c>
      <x:c r="B88" s="28" t="n">
        <x:v>46066</x:v>
      </x:c>
      <x:c r="C88" t="str">
        <x:v>Rajshahi</x:v>
      </x:c>
      <x:c r="D88" t="str">
        <x:v>Online</x:v>
      </x:c>
      <x:c r="E88" t="str">
        <x:v>Notebook Set</x:v>
      </x:c>
      <x:c r="F88" t="str">
        <x:v>Stationery</x:v>
      </x:c>
      <x:c r="G88" t="n">
        <x:v>3</x:v>
      </x:c>
      <x:c r="H88" s="30" t="n">
        <x:v>320</x:v>
      </x:c>
      <x:c r="I88" s="32" t="n">
        <x:v>0</x:v>
      </x:c>
      <x:c r="J88" s="30" t="n">
        <x:v>960</x:v>
      </x:c>
      <x:c r="K88" s="30" t="n">
        <x:v>510</x:v>
      </x:c>
      <x:c r="L88" s="30" t="n">
        <x:v>450</x:v>
      </x:c>
    </x:row>
    <x:row r="89">
      <x:c r="A89" t="str">
        <x:v>TX-0088</x:v>
      </x:c>
      <x:c r="B89" s="28" t="n">
        <x:v>46066</x:v>
      </x:c>
      <x:c r="C89" t="str">
        <x:v>Khulna</x:v>
      </x:c>
      <x:c r="D89" t="str">
        <x:v>Partner</x:v>
      </x:c>
      <x:c r="E89" t="str">
        <x:v>Polo Shirt</x:v>
      </x:c>
      <x:c r="F89" t="str">
        <x:v>Apparel</x:v>
      </x:c>
      <x:c r="G89" t="n">
        <x:v>5</x:v>
      </x:c>
      <x:c r="H89" s="30" t="n">
        <x:v>1200</x:v>
      </x:c>
      <x:c r="I89" s="32" t="n">
        <x:v>0.05</x:v>
      </x:c>
      <x:c r="J89" s="30" t="n">
        <x:v>5700</x:v>
      </x:c>
      <x:c r="K89" s="30" t="n">
        <x:v>3600</x:v>
      </x:c>
      <x:c r="L89" s="30" t="n">
        <x:v>2100</x:v>
      </x:c>
    </x:row>
    <x:row r="90">
      <x:c r="A90" t="str">
        <x:v>TX-0089</x:v>
      </x:c>
      <x:c r="B90" s="28" t="n">
        <x:v>46067</x:v>
      </x:c>
      <x:c r="C90" t="str">
        <x:v>Dhaka</x:v>
      </x:c>
      <x:c r="D90" t="str">
        <x:v>Partner</x:v>
      </x:c>
      <x:c r="E90" t="str">
        <x:v>Sneakers</x:v>
      </x:c>
      <x:c r="F90" t="str">
        <x:v>Footwear</x:v>
      </x:c>
      <x:c r="G90" t="n">
        <x:v>4</x:v>
      </x:c>
      <x:c r="H90" s="30" t="n">
        <x:v>2400</x:v>
      </x:c>
      <x:c r="I90" s="32" t="n">
        <x:v>0.05</x:v>
      </x:c>
      <x:c r="J90" s="30" t="n">
        <x:v>9120</x:v>
      </x:c>
      <x:c r="K90" s="30" t="n">
        <x:v>6200</x:v>
      </x:c>
      <x:c r="L90" s="30" t="n">
        <x:v>2920</x:v>
      </x:c>
    </x:row>
    <x:row r="91">
      <x:c r="A91" t="str">
        <x:v>TX-0090</x:v>
      </x:c>
      <x:c r="B91" s="28" t="n">
        <x:v>46067</x:v>
      </x:c>
      <x:c r="C91" t="str">
        <x:v>Chattogram</x:v>
      </x:c>
      <x:c r="D91" t="str">
        <x:v>Partner</x:v>
      </x:c>
      <x:c r="E91" t="str">
        <x:v>Backpack</x:v>
      </x:c>
      <x:c r="F91" t="str">
        <x:v>Accessories</x:v>
      </x:c>
      <x:c r="G91" t="n">
        <x:v>3</x:v>
      </x:c>
      <x:c r="H91" s="30" t="n">
        <x:v>1800</x:v>
      </x:c>
      <x:c r="I91" s="32" t="n">
        <x:v>0.1</x:v>
      </x:c>
      <x:c r="J91" s="30" t="n">
        <x:v>4860</x:v>
      </x:c>
      <x:c r="K91" s="30" t="n">
        <x:v>3360</x:v>
      </x:c>
      <x:c r="L91" s="30" t="n">
        <x:v>1500</x:v>
      </x:c>
    </x:row>
    <x:row r="92">
      <x:c r="A92" t="str">
        <x:v>TX-0091</x:v>
      </x:c>
      <x:c r="B92" s="28" t="n">
        <x:v>46068</x:v>
      </x:c>
      <x:c r="C92" t="str">
        <x:v>Rajshahi</x:v>
      </x:c>
      <x:c r="D92" t="str">
        <x:v>Store</x:v>
      </x:c>
      <x:c r="E92" t="str">
        <x:v>Formal Shirt</x:v>
      </x:c>
      <x:c r="F92" t="str">
        <x:v>Apparel</x:v>
      </x:c>
      <x:c r="G92" t="n">
        <x:v>8</x:v>
      </x:c>
      <x:c r="H92" s="30" t="n">
        <x:v>1450</x:v>
      </x:c>
      <x:c r="I92" s="32" t="n">
        <x:v>0</x:v>
      </x:c>
      <x:c r="J92" s="30" t="n">
        <x:v>11600</x:v>
      </x:c>
      <x:c r="K92" s="30" t="n">
        <x:v>7040</x:v>
      </x:c>
      <x:c r="L92" s="30" t="n">
        <x:v>4560</x:v>
      </x:c>
    </x:row>
    <x:row r="93">
      <x:c r="A93" t="str">
        <x:v>TX-0092</x:v>
      </x:c>
      <x:c r="B93" s="28" t="n">
        <x:v>46068</x:v>
      </x:c>
      <x:c r="C93" t="str">
        <x:v>Khulna</x:v>
      </x:c>
      <x:c r="D93" t="str">
        <x:v>Store</x:v>
      </x:c>
      <x:c r="E93" t="str">
        <x:v>Sneakers</x:v>
      </x:c>
      <x:c r="F93" t="str">
        <x:v>Footwear</x:v>
      </x:c>
      <x:c r="G93" t="n">
        <x:v>2</x:v>
      </x:c>
      <x:c r="H93" s="30" t="n">
        <x:v>2400</x:v>
      </x:c>
      <x:c r="I93" s="32" t="n">
        <x:v>0</x:v>
      </x:c>
      <x:c r="J93" s="30" t="n">
        <x:v>4800</x:v>
      </x:c>
      <x:c r="K93" s="30" t="n">
        <x:v>3100</x:v>
      </x:c>
      <x:c r="L93" s="30" t="n">
        <x:v>1700</x:v>
      </x:c>
    </x:row>
    <x:row r="94">
      <x:c r="A94" t="str">
        <x:v>TX-0093</x:v>
      </x:c>
      <x:c r="B94" s="28" t="n">
        <x:v>46069</x:v>
      </x:c>
      <x:c r="C94" t="str">
        <x:v>Dhaka</x:v>
      </x:c>
      <x:c r="D94" t="str">
        <x:v>Store</x:v>
      </x:c>
      <x:c r="E94" t="str">
        <x:v>Notebook Set</x:v>
      </x:c>
      <x:c r="F94" t="str">
        <x:v>Stationery</x:v>
      </x:c>
      <x:c r="G94" t="n">
        <x:v>6</x:v>
      </x:c>
      <x:c r="H94" s="30" t="n">
        <x:v>320</x:v>
      </x:c>
      <x:c r="I94" s="32" t="n">
        <x:v>0.1</x:v>
      </x:c>
      <x:c r="J94" s="30" t="n">
        <x:v>1728</x:v>
      </x:c>
      <x:c r="K94" s="30" t="n">
        <x:v>1020</x:v>
      </x:c>
      <x:c r="L94" s="30" t="n">
        <x:v>708</x:v>
      </x:c>
    </x:row>
    <x:row r="95">
      <x:c r="A95" t="str">
        <x:v>TX-0094</x:v>
      </x:c>
      <x:c r="B95" s="28" t="n">
        <x:v>46069</x:v>
      </x:c>
      <x:c r="C95" t="str">
        <x:v>Chattogram</x:v>
      </x:c>
      <x:c r="D95" t="str">
        <x:v>Online</x:v>
      </x:c>
      <x:c r="E95" t="str">
        <x:v>Notebook Set</x:v>
      </x:c>
      <x:c r="F95" t="str">
        <x:v>Stationery</x:v>
      </x:c>
      <x:c r="G95" t="n">
        <x:v>5</x:v>
      </x:c>
      <x:c r="H95" s="30" t="n">
        <x:v>320</x:v>
      </x:c>
      <x:c r="I95" s="32" t="n">
        <x:v>0</x:v>
      </x:c>
      <x:c r="J95" s="30" t="n">
        <x:v>1600</x:v>
      </x:c>
      <x:c r="K95" s="30" t="n">
        <x:v>850</x:v>
      </x:c>
      <x:c r="L95" s="30" t="n">
        <x:v>750</x:v>
      </x:c>
    </x:row>
    <x:row r="96">
      <x:c r="A96" t="str">
        <x:v>TX-0095</x:v>
      </x:c>
      <x:c r="B96" s="28" t="n">
        <x:v>46070</x:v>
      </x:c>
      <x:c r="C96" t="str">
        <x:v>Rajshahi</x:v>
      </x:c>
      <x:c r="D96" t="str">
        <x:v>Online</x:v>
      </x:c>
      <x:c r="E96" t="str">
        <x:v>Polo Shirt</x:v>
      </x:c>
      <x:c r="F96" t="str">
        <x:v>Apparel</x:v>
      </x:c>
      <x:c r="G96" t="n">
        <x:v>3</x:v>
      </x:c>
      <x:c r="H96" s="30" t="n">
        <x:v>1200</x:v>
      </x:c>
      <x:c r="I96" s="32" t="n">
        <x:v>0.15</x:v>
      </x:c>
      <x:c r="J96" s="30" t="n">
        <x:v>3060</x:v>
      </x:c>
      <x:c r="K96" s="30" t="n">
        <x:v>2160</x:v>
      </x:c>
      <x:c r="L96" s="30" t="n">
        <x:v>900</x:v>
      </x:c>
    </x:row>
    <x:row r="97">
      <x:c r="A97" t="str">
        <x:v>TX-0096</x:v>
      </x:c>
      <x:c r="B97" s="28" t="n">
        <x:v>46070</x:v>
      </x:c>
      <x:c r="C97" t="str">
        <x:v>Khulna</x:v>
      </x:c>
      <x:c r="D97" t="str">
        <x:v>Online</x:v>
      </x:c>
      <x:c r="E97" t="str">
        <x:v>Formal Shirt</x:v>
      </x:c>
      <x:c r="F97" t="str">
        <x:v>Apparel</x:v>
      </x:c>
      <x:c r="G97" t="n">
        <x:v>4</x:v>
      </x:c>
      <x:c r="H97" s="30" t="n">
        <x:v>1450</x:v>
      </x:c>
      <x:c r="I97" s="32" t="n">
        <x:v>0</x:v>
      </x:c>
      <x:c r="J97" s="30" t="n">
        <x:v>5800</x:v>
      </x:c>
      <x:c r="K97" s="30" t="n">
        <x:v>3520</x:v>
      </x:c>
      <x:c r="L97" s="30" t="n">
        <x:v>2280</x:v>
      </x:c>
    </x:row>
    <x:row r="98">
      <x:c r="A98" t="str">
        <x:v>TX-0097</x:v>
      </x:c>
      <x:c r="B98" s="28" t="n">
        <x:v>46071</x:v>
      </x:c>
      <x:c r="C98" t="str">
        <x:v>Dhaka</x:v>
      </x:c>
      <x:c r="D98" t="str">
        <x:v>Partner</x:v>
      </x:c>
      <x:c r="E98" t="str">
        <x:v>Polo Shirt</x:v>
      </x:c>
      <x:c r="F98" t="str">
        <x:v>Apparel</x:v>
      </x:c>
      <x:c r="G98" t="n">
        <x:v>1</x:v>
      </x:c>
      <x:c r="H98" s="30" t="n">
        <x:v>1200</x:v>
      </x:c>
      <x:c r="I98" s="32" t="n">
        <x:v>0</x:v>
      </x:c>
      <x:c r="J98" s="30" t="n">
        <x:v>1200</x:v>
      </x:c>
      <x:c r="K98" s="30" t="n">
        <x:v>720</x:v>
      </x:c>
      <x:c r="L98" s="30" t="n">
        <x:v>480</x:v>
      </x:c>
    </x:row>
    <x:row r="99">
      <x:c r="A99" t="str">
        <x:v>TX-0098</x:v>
      </x:c>
      <x:c r="B99" s="28" t="n">
        <x:v>46071</x:v>
      </x:c>
      <x:c r="C99" t="str">
        <x:v>Chattogram</x:v>
      </x:c>
      <x:c r="D99" t="str">
        <x:v>Partner</x:v>
      </x:c>
      <x:c r="E99" t="str">
        <x:v>Formal Shirt</x:v>
      </x:c>
      <x:c r="F99" t="str">
        <x:v>Apparel</x:v>
      </x:c>
      <x:c r="G99" t="n">
        <x:v>3</x:v>
      </x:c>
      <x:c r="H99" s="30" t="n">
        <x:v>1450</x:v>
      </x:c>
      <x:c r="I99" s="32" t="n">
        <x:v>0</x:v>
      </x:c>
      <x:c r="J99" s="30" t="n">
        <x:v>4350</x:v>
      </x:c>
      <x:c r="K99" s="30" t="n">
        <x:v>2640</x:v>
      </x:c>
      <x:c r="L99" s="30" t="n">
        <x:v>1710</x:v>
      </x:c>
    </x:row>
    <x:row r="100">
      <x:c r="A100" t="str">
        <x:v>TX-0099</x:v>
      </x:c>
      <x:c r="B100" s="28" t="n">
        <x:v>46072</x:v>
      </x:c>
      <x:c r="C100" t="str">
        <x:v>Rajshahi</x:v>
      </x:c>
      <x:c r="D100" t="str">
        <x:v>Partner</x:v>
      </x:c>
      <x:c r="E100" t="str">
        <x:v>Backpack</x:v>
      </x:c>
      <x:c r="F100" t="str">
        <x:v>Accessories</x:v>
      </x:c>
      <x:c r="G100" t="n">
        <x:v>8</x:v>
      </x:c>
      <x:c r="H100" s="30" t="n">
        <x:v>1800</x:v>
      </x:c>
      <x:c r="I100" s="32" t="n">
        <x:v>0</x:v>
      </x:c>
      <x:c r="J100" s="30" t="n">
        <x:v>14400</x:v>
      </x:c>
      <x:c r="K100" s="30" t="n">
        <x:v>8960</x:v>
      </x:c>
      <x:c r="L100" s="30" t="n">
        <x:v>5440</x:v>
      </x:c>
    </x:row>
    <x:row r="101">
      <x:c r="A101" t="str">
        <x:v>TX-0100</x:v>
      </x:c>
      <x:c r="B101" s="28" t="n">
        <x:v>46072</x:v>
      </x:c>
      <x:c r="C101" t="str">
        <x:v>Khulna</x:v>
      </x:c>
      <x:c r="D101" t="str">
        <x:v>Store</x:v>
      </x:c>
      <x:c r="E101" t="str">
        <x:v>Sneakers</x:v>
      </x:c>
      <x:c r="F101" t="str">
        <x:v>Footwear</x:v>
      </x:c>
      <x:c r="G101" t="n">
        <x:v>8</x:v>
      </x:c>
      <x:c r="H101" s="30" t="n">
        <x:v>2400</x:v>
      </x:c>
      <x:c r="I101" s="32" t="n">
        <x:v>0</x:v>
      </x:c>
      <x:c r="J101" s="30" t="n">
        <x:v>19200</x:v>
      </x:c>
      <x:c r="K101" s="30" t="n">
        <x:v>12400</x:v>
      </x:c>
      <x:c r="L101" s="30" t="n">
        <x:v>6800</x:v>
      </x:c>
    </x:row>
    <x:row r="102">
      <x:c r="A102" t="str">
        <x:v>TX-0101</x:v>
      </x:c>
      <x:c r="B102" s="28" t="n">
        <x:v>46073</x:v>
      </x:c>
      <x:c r="C102" t="str">
        <x:v>Dhaka</x:v>
      </x:c>
      <x:c r="D102" t="str">
        <x:v>Store</x:v>
      </x:c>
      <x:c r="E102" t="str">
        <x:v>Polo Shirt</x:v>
      </x:c>
      <x:c r="F102" t="str">
        <x:v>Apparel</x:v>
      </x:c>
      <x:c r="G102" t="n">
        <x:v>5</x:v>
      </x:c>
      <x:c r="H102" s="30" t="n">
        <x:v>1200</x:v>
      </x:c>
      <x:c r="I102" s="32" t="n">
        <x:v>0.05</x:v>
      </x:c>
      <x:c r="J102" s="30" t="n">
        <x:v>5700</x:v>
      </x:c>
      <x:c r="K102" s="30" t="n">
        <x:v>3600</x:v>
      </x:c>
      <x:c r="L102" s="30" t="n">
        <x:v>2100</x:v>
      </x:c>
    </x:row>
    <x:row r="103">
      <x:c r="A103" t="str">
        <x:v>TX-0102</x:v>
      </x:c>
      <x:c r="B103" s="28" t="n">
        <x:v>46073</x:v>
      </x:c>
      <x:c r="C103" t="str">
        <x:v>Chattogram</x:v>
      </x:c>
      <x:c r="D103" t="str">
        <x:v>Store</x:v>
      </x:c>
      <x:c r="E103" t="str">
        <x:v>Notebook Set</x:v>
      </x:c>
      <x:c r="F103" t="str">
        <x:v>Stationery</x:v>
      </x:c>
      <x:c r="G103" t="n">
        <x:v>5</x:v>
      </x:c>
      <x:c r="H103" s="30" t="n">
        <x:v>320</x:v>
      </x:c>
      <x:c r="I103" s="32" t="n">
        <x:v>0</x:v>
      </x:c>
      <x:c r="J103" s="30" t="n">
        <x:v>1600</x:v>
      </x:c>
      <x:c r="K103" s="30" t="n">
        <x:v>850</x:v>
      </x:c>
      <x:c r="L103" s="30" t="n">
        <x:v>750</x:v>
      </x:c>
    </x:row>
    <x:row r="104">
      <x:c r="A104" t="str">
        <x:v>TX-0103</x:v>
      </x:c>
      <x:c r="B104" s="28" t="n">
        <x:v>46074</x:v>
      </x:c>
      <x:c r="C104" t="str">
        <x:v>Rajshahi</x:v>
      </x:c>
      <x:c r="D104" t="str">
        <x:v>Online</x:v>
      </x:c>
      <x:c r="E104" t="str">
        <x:v>Notebook Set</x:v>
      </x:c>
      <x:c r="F104" t="str">
        <x:v>Stationery</x:v>
      </x:c>
      <x:c r="G104" t="n">
        <x:v>7</x:v>
      </x:c>
      <x:c r="H104" s="30" t="n">
        <x:v>320</x:v>
      </x:c>
      <x:c r="I104" s="32" t="n">
        <x:v>0.05</x:v>
      </x:c>
      <x:c r="J104" s="30" t="n">
        <x:v>2128</x:v>
      </x:c>
      <x:c r="K104" s="30" t="n">
        <x:v>1190</x:v>
      </x:c>
      <x:c r="L104" s="30" t="n">
        <x:v>938</x:v>
      </x:c>
    </x:row>
    <x:row r="105">
      <x:c r="A105" t="str">
        <x:v>TX-0104</x:v>
      </x:c>
      <x:c r="B105" s="28" t="n">
        <x:v>46074</x:v>
      </x:c>
      <x:c r="C105" t="str">
        <x:v>Khulna</x:v>
      </x:c>
      <x:c r="D105" t="str">
        <x:v>Online</x:v>
      </x:c>
      <x:c r="E105" t="str">
        <x:v>Polo Shirt</x:v>
      </x:c>
      <x:c r="F105" t="str">
        <x:v>Apparel</x:v>
      </x:c>
      <x:c r="G105" t="n">
        <x:v>2</x:v>
      </x:c>
      <x:c r="H105" s="30" t="n">
        <x:v>1200</x:v>
      </x:c>
      <x:c r="I105" s="32" t="n">
        <x:v>0</x:v>
      </x:c>
      <x:c r="J105" s="30" t="n">
        <x:v>2400</x:v>
      </x:c>
      <x:c r="K105" s="30" t="n">
        <x:v>1440</x:v>
      </x:c>
      <x:c r="L105" s="30" t="n">
        <x:v>960</x:v>
      </x:c>
    </x:row>
    <x:row r="106">
      <x:c r="A106" t="str">
        <x:v>TX-0105</x:v>
      </x:c>
      <x:c r="B106" s="28" t="n">
        <x:v>46075</x:v>
      </x:c>
      <x:c r="C106" t="str">
        <x:v>Dhaka</x:v>
      </x:c>
      <x:c r="D106" t="str">
        <x:v>Online</x:v>
      </x:c>
      <x:c r="E106" t="str">
        <x:v>Sneakers</x:v>
      </x:c>
      <x:c r="F106" t="str">
        <x:v>Footwear</x:v>
      </x:c>
      <x:c r="G106" t="n">
        <x:v>4</x:v>
      </x:c>
      <x:c r="H106" s="30" t="n">
        <x:v>2400</x:v>
      </x:c>
      <x:c r="I106" s="32" t="n">
        <x:v>0</x:v>
      </x:c>
      <x:c r="J106" s="30" t="n">
        <x:v>9600</x:v>
      </x:c>
      <x:c r="K106" s="30" t="n">
        <x:v>6200</x:v>
      </x:c>
      <x:c r="L106" s="30" t="n">
        <x:v>3400</x:v>
      </x:c>
    </x:row>
    <x:row r="107">
      <x:c r="A107" t="str">
        <x:v>TX-0106</x:v>
      </x:c>
      <x:c r="B107" s="28" t="n">
        <x:v>46075</x:v>
      </x:c>
      <x:c r="C107" t="str">
        <x:v>Chattogram</x:v>
      </x:c>
      <x:c r="D107" t="str">
        <x:v>Partner</x:v>
      </x:c>
      <x:c r="E107" t="str">
        <x:v>Backpack</x:v>
      </x:c>
      <x:c r="F107" t="str">
        <x:v>Accessories</x:v>
      </x:c>
      <x:c r="G107" t="n">
        <x:v>2</x:v>
      </x:c>
      <x:c r="H107" s="30" t="n">
        <x:v>1800</x:v>
      </x:c>
      <x:c r="I107" s="32" t="n">
        <x:v>0.1</x:v>
      </x:c>
      <x:c r="J107" s="30" t="n">
        <x:v>3240</x:v>
      </x:c>
      <x:c r="K107" s="30" t="n">
        <x:v>2240</x:v>
      </x:c>
      <x:c r="L107" s="30" t="n">
        <x:v>1000</x:v>
      </x:c>
    </x:row>
    <x:row r="108">
      <x:c r="A108" t="str">
        <x:v>TX-0107</x:v>
      </x:c>
      <x:c r="B108" s="28" t="n">
        <x:v>46076</x:v>
      </x:c>
      <x:c r="C108" t="str">
        <x:v>Rajshahi</x:v>
      </x:c>
      <x:c r="D108" t="str">
        <x:v>Partner</x:v>
      </x:c>
      <x:c r="E108" t="str">
        <x:v>Notebook Set</x:v>
      </x:c>
      <x:c r="F108" t="str">
        <x:v>Stationery</x:v>
      </x:c>
      <x:c r="G108" t="n">
        <x:v>3</x:v>
      </x:c>
      <x:c r="H108" s="30" t="n">
        <x:v>320</x:v>
      </x:c>
      <x:c r="I108" s="32" t="n">
        <x:v>0</x:v>
      </x:c>
      <x:c r="J108" s="30" t="n">
        <x:v>960</x:v>
      </x:c>
      <x:c r="K108" s="30" t="n">
        <x:v>510</x:v>
      </x:c>
      <x:c r="L108" s="30" t="n">
        <x:v>450</x:v>
      </x:c>
    </x:row>
    <x:row r="109">
      <x:c r="A109" t="str">
        <x:v>TX-0108</x:v>
      </x:c>
      <x:c r="B109" s="28" t="n">
        <x:v>46076</x:v>
      </x:c>
      <x:c r="C109" t="str">
        <x:v>Khulna</x:v>
      </x:c>
      <x:c r="D109" t="str">
        <x:v>Partner</x:v>
      </x:c>
      <x:c r="E109" t="str">
        <x:v>Polo Shirt</x:v>
      </x:c>
      <x:c r="F109" t="str">
        <x:v>Apparel</x:v>
      </x:c>
      <x:c r="G109" t="n">
        <x:v>6</x:v>
      </x:c>
      <x:c r="H109" s="30" t="n">
        <x:v>1200</x:v>
      </x:c>
      <x:c r="I109" s="32" t="n">
        <x:v>0.15</x:v>
      </x:c>
      <x:c r="J109" s="30" t="n">
        <x:v>6120</x:v>
      </x:c>
      <x:c r="K109" s="30" t="n">
        <x:v>4320</x:v>
      </x:c>
      <x:c r="L109" s="30" t="n">
        <x:v>1800</x:v>
      </x:c>
    </x:row>
    <x:row r="110">
      <x:c r="A110" t="str">
        <x:v>TX-0109</x:v>
      </x:c>
      <x:c r="B110" s="28" t="n">
        <x:v>46077</x:v>
      </x:c>
      <x:c r="C110" t="str">
        <x:v>Dhaka</x:v>
      </x:c>
      <x:c r="D110" t="str">
        <x:v>Store</x:v>
      </x:c>
      <x:c r="E110" t="str">
        <x:v>Sneakers</x:v>
      </x:c>
      <x:c r="F110" t="str">
        <x:v>Footwear</x:v>
      </x:c>
      <x:c r="G110" t="n">
        <x:v>5</x:v>
      </x:c>
      <x:c r="H110" s="30" t="n">
        <x:v>2400</x:v>
      </x:c>
      <x:c r="I110" s="32" t="n">
        <x:v>0.05</x:v>
      </x:c>
      <x:c r="J110" s="30" t="n">
        <x:v>11400</x:v>
      </x:c>
      <x:c r="K110" s="30" t="n">
        <x:v>7750</x:v>
      </x:c>
      <x:c r="L110" s="30" t="n">
        <x:v>3650</x:v>
      </x:c>
    </x:row>
    <x:row r="111">
      <x:c r="A111" t="str">
        <x:v>TX-0110</x:v>
      </x:c>
      <x:c r="B111" s="28" t="n">
        <x:v>46077</x:v>
      </x:c>
      <x:c r="C111" t="str">
        <x:v>Chattogram</x:v>
      </x:c>
      <x:c r="D111" t="str">
        <x:v>Store</x:v>
      </x:c>
      <x:c r="E111" t="str">
        <x:v>Notebook Set</x:v>
      </x:c>
      <x:c r="F111" t="str">
        <x:v>Stationery</x:v>
      </x:c>
      <x:c r="G111" t="n">
        <x:v>5</x:v>
      </x:c>
      <x:c r="H111" s="30" t="n">
        <x:v>320</x:v>
      </x:c>
      <x:c r="I111" s="32" t="n">
        <x:v>0</x:v>
      </x:c>
      <x:c r="J111" s="30" t="n">
        <x:v>1600</x:v>
      </x:c>
      <x:c r="K111" s="30" t="n">
        <x:v>850</x:v>
      </x:c>
      <x:c r="L111" s="30" t="n">
        <x:v>750</x:v>
      </x:c>
    </x:row>
    <x:row r="112">
      <x:c r="A112" t="str">
        <x:v>TX-0111</x:v>
      </x:c>
      <x:c r="B112" s="28" t="n">
        <x:v>46078</x:v>
      </x:c>
      <x:c r="C112" t="str">
        <x:v>Rajshahi</x:v>
      </x:c>
      <x:c r="D112" t="str">
        <x:v>Store</x:v>
      </x:c>
      <x:c r="E112" t="str">
        <x:v>Formal Shirt</x:v>
      </x:c>
      <x:c r="F112" t="str">
        <x:v>Apparel</x:v>
      </x:c>
      <x:c r="G112" t="n">
        <x:v>7</x:v>
      </x:c>
      <x:c r="H112" s="30" t="n">
        <x:v>1450</x:v>
      </x:c>
      <x:c r="I112" s="32" t="n">
        <x:v>0.1</x:v>
      </x:c>
      <x:c r="J112" s="30" t="n">
        <x:v>9135</x:v>
      </x:c>
      <x:c r="K112" s="30" t="n">
        <x:v>6160</x:v>
      </x:c>
      <x:c r="L112" s="30" t="n">
        <x:v>2975</x:v>
      </x:c>
    </x:row>
    <x:row r="113">
      <x:c r="A113" t="str">
        <x:v>TX-0112</x:v>
      </x:c>
      <x:c r="B113" s="28" t="n">
        <x:v>46078</x:v>
      </x:c>
      <x:c r="C113" t="str">
        <x:v>Khulna</x:v>
      </x:c>
      <x:c r="D113" t="str">
        <x:v>Online</x:v>
      </x:c>
      <x:c r="E113" t="str">
        <x:v>Sneakers</x:v>
      </x:c>
      <x:c r="F113" t="str">
        <x:v>Footwear</x:v>
      </x:c>
      <x:c r="G113" t="n">
        <x:v>4</x:v>
      </x:c>
      <x:c r="H113" s="30" t="n">
        <x:v>2400</x:v>
      </x:c>
      <x:c r="I113" s="32" t="n">
        <x:v>0</x:v>
      </x:c>
      <x:c r="J113" s="30" t="n">
        <x:v>9600</x:v>
      </x:c>
      <x:c r="K113" s="30" t="n">
        <x:v>6200</x:v>
      </x:c>
      <x:c r="L113" s="30" t="n">
        <x:v>3400</x:v>
      </x:c>
    </x:row>
    <x:row r="114">
      <x:c r="A114" t="str">
        <x:v>TX-0113</x:v>
      </x:c>
      <x:c r="B114" s="28" t="n">
        <x:v>46079</x:v>
      </x:c>
      <x:c r="C114" t="str">
        <x:v>Dhaka</x:v>
      </x:c>
      <x:c r="D114" t="str">
        <x:v>Online</x:v>
      </x:c>
      <x:c r="E114" t="str">
        <x:v>Formal Shirt</x:v>
      </x:c>
      <x:c r="F114" t="str">
        <x:v>Apparel</x:v>
      </x:c>
      <x:c r="G114" t="n">
        <x:v>1</x:v>
      </x:c>
      <x:c r="H114" s="30" t="n">
        <x:v>1450</x:v>
      </x:c>
      <x:c r="I114" s="32" t="n">
        <x:v>0</x:v>
      </x:c>
      <x:c r="J114" s="30" t="n">
        <x:v>1450</x:v>
      </x:c>
      <x:c r="K114" s="30" t="n">
        <x:v>880</x:v>
      </x:c>
      <x:c r="L114" s="30" t="n">
        <x:v>570</x:v>
      </x:c>
    </x:row>
    <x:row r="115">
      <x:c r="A115" t="str">
        <x:v>TX-0114</x:v>
      </x:c>
      <x:c r="B115" s="28" t="n">
        <x:v>46079</x:v>
      </x:c>
      <x:c r="C115" t="str">
        <x:v>Chattogram</x:v>
      </x:c>
      <x:c r="D115" t="str">
        <x:v>Online</x:v>
      </x:c>
      <x:c r="E115" t="str">
        <x:v>Sneakers</x:v>
      </x:c>
      <x:c r="F115" t="str">
        <x:v>Footwear</x:v>
      </x:c>
      <x:c r="G115" t="n">
        <x:v>8</x:v>
      </x:c>
      <x:c r="H115" s="30" t="n">
        <x:v>2400</x:v>
      </x:c>
      <x:c r="I115" s="32" t="n">
        <x:v>0.05</x:v>
      </x:c>
      <x:c r="J115" s="30" t="n">
        <x:v>18240</x:v>
      </x:c>
      <x:c r="K115" s="30" t="n">
        <x:v>12400</x:v>
      </x:c>
      <x:c r="L115" s="30" t="n">
        <x:v>5840</x:v>
      </x:c>
    </x:row>
    <x:row r="116">
      <x:c r="A116" t="str">
        <x:v>TX-0115</x:v>
      </x:c>
      <x:c r="B116" s="28" t="n">
        <x:v>46080</x:v>
      </x:c>
      <x:c r="C116" t="str">
        <x:v>Rajshahi</x:v>
      </x:c>
      <x:c r="D116" t="str">
        <x:v>Partner</x:v>
      </x:c>
      <x:c r="E116" t="str">
        <x:v>Polo Shirt</x:v>
      </x:c>
      <x:c r="F116" t="str">
        <x:v>Apparel</x:v>
      </x:c>
      <x:c r="G116" t="n">
        <x:v>2</x:v>
      </x:c>
      <x:c r="H116" s="30" t="n">
        <x:v>1200</x:v>
      </x:c>
      <x:c r="I116" s="32" t="n">
        <x:v>0.05</x:v>
      </x:c>
      <x:c r="J116" s="30" t="n">
        <x:v>2280</x:v>
      </x:c>
      <x:c r="K116" s="30" t="n">
        <x:v>1440</x:v>
      </x:c>
      <x:c r="L116" s="30" t="n">
        <x:v>840</x:v>
      </x:c>
    </x:row>
    <x:row r="117">
      <x:c r="A117" t="str">
        <x:v>TX-0116</x:v>
      </x:c>
      <x:c r="B117" s="28" t="n">
        <x:v>46080</x:v>
      </x:c>
      <x:c r="C117" t="str">
        <x:v>Khulna</x:v>
      </x:c>
      <x:c r="D117" t="str">
        <x:v>Partner</x:v>
      </x:c>
      <x:c r="E117" t="str">
        <x:v>Notebook Set</x:v>
      </x:c>
      <x:c r="F117" t="str">
        <x:v>Stationery</x:v>
      </x:c>
      <x:c r="G117" t="n">
        <x:v>1</x:v>
      </x:c>
      <x:c r="H117" s="30" t="n">
        <x:v>320</x:v>
      </x:c>
      <x:c r="I117" s="32" t="n">
        <x:v>0</x:v>
      </x:c>
      <x:c r="J117" s="30" t="n">
        <x:v>320</x:v>
      </x:c>
      <x:c r="K117" s="30" t="n">
        <x:v>170</x:v>
      </x:c>
      <x:c r="L117" s="30" t="n">
        <x:v>150</x:v>
      </x:c>
    </x:row>
    <x:row r="118">
      <x:c r="A118" t="str">
        <x:v>TX-0117</x:v>
      </x:c>
      <x:c r="B118" s="28" t="n">
        <x:v>46081</x:v>
      </x:c>
      <x:c r="C118" t="str">
        <x:v>Dhaka</x:v>
      </x:c>
      <x:c r="D118" t="str">
        <x:v>Partner</x:v>
      </x:c>
      <x:c r="E118" t="str">
        <x:v>Formal Shirt</x:v>
      </x:c>
      <x:c r="F118" t="str">
        <x:v>Apparel</x:v>
      </x:c>
      <x:c r="G118" t="n">
        <x:v>6</x:v>
      </x:c>
      <x:c r="H118" s="30" t="n">
        <x:v>1450</x:v>
      </x:c>
      <x:c r="I118" s="32" t="n">
        <x:v>0.05</x:v>
      </x:c>
      <x:c r="J118" s="30" t="n">
        <x:v>8265</x:v>
      </x:c>
      <x:c r="K118" s="30" t="n">
        <x:v>5280</x:v>
      </x:c>
      <x:c r="L118" s="30" t="n">
        <x:v>2985</x:v>
      </x:c>
    </x:row>
    <x:row r="119">
      <x:c r="A119" t="str">
        <x:v>TX-0118</x:v>
      </x:c>
      <x:c r="B119" s="28" t="n">
        <x:v>46081</x:v>
      </x:c>
      <x:c r="C119" t="str">
        <x:v>Chattogram</x:v>
      </x:c>
      <x:c r="D119" t="str">
        <x:v>Store</x:v>
      </x:c>
      <x:c r="E119" t="str">
        <x:v>Polo Shirt</x:v>
      </x:c>
      <x:c r="F119" t="str">
        <x:v>Apparel</x:v>
      </x:c>
      <x:c r="G119" t="n">
        <x:v>8</x:v>
      </x:c>
      <x:c r="H119" s="30" t="n">
        <x:v>1200</x:v>
      </x:c>
      <x:c r="I119" s="32" t="n">
        <x:v>0</x:v>
      </x:c>
      <x:c r="J119" s="30" t="n">
        <x:v>9600</x:v>
      </x:c>
      <x:c r="K119" s="30" t="n">
        <x:v>5760</x:v>
      </x:c>
      <x:c r="L119" s="30" t="n">
        <x:v>3840</x:v>
      </x:c>
    </x:row>
    <x:row r="120">
      <x:c r="A120" t="str">
        <x:v>TX-0119</x:v>
      </x:c>
      <x:c r="B120" s="28" t="n">
        <x:v>46082</x:v>
      </x:c>
      <x:c r="C120" t="str">
        <x:v>Rajshahi</x:v>
      </x:c>
      <x:c r="D120" t="str">
        <x:v>Store</x:v>
      </x:c>
      <x:c r="E120" t="str">
        <x:v>Polo Shirt</x:v>
      </x:c>
      <x:c r="F120" t="str">
        <x:v>Apparel</x:v>
      </x:c>
      <x:c r="G120" t="n">
        <x:v>5</x:v>
      </x:c>
      <x:c r="H120" s="30" t="n">
        <x:v>1200</x:v>
      </x:c>
      <x:c r="I120" s="32" t="n">
        <x:v>0</x:v>
      </x:c>
      <x:c r="J120" s="30" t="n">
        <x:v>6000</x:v>
      </x:c>
      <x:c r="K120" s="30" t="n">
        <x:v>3600</x:v>
      </x:c>
      <x:c r="L120" s="30" t="n">
        <x:v>2400</x:v>
      </x:c>
    </x:row>
    <x:row r="121">
      <x:c r="A121" t="str">
        <x:v>TX-0120</x:v>
      </x:c>
      <x:c r="B121" s="28" t="n">
        <x:v>46082</x:v>
      </x:c>
      <x:c r="C121" t="str">
        <x:v>Khulna</x:v>
      </x:c>
      <x:c r="D121" t="str">
        <x:v>Store</x:v>
      </x:c>
      <x:c r="E121" t="str">
        <x:v>Sneakers</x:v>
      </x:c>
      <x:c r="F121" t="str">
        <x:v>Footwear</x:v>
      </x:c>
      <x:c r="G121" t="n">
        <x:v>2</x:v>
      </x:c>
      <x:c r="H121" s="30" t="n">
        <x:v>2400</x:v>
      </x:c>
      <x:c r="I121" s="32" t="n">
        <x:v>0</x:v>
      </x:c>
      <x:c r="J121" s="30" t="n">
        <x:v>4800</x:v>
      </x:c>
      <x:c r="K121" s="30" t="n">
        <x:v>3100</x:v>
      </x:c>
      <x:c r="L121" s="30" t="n">
        <x:v>1700</x:v>
      </x:c>
    </x:row>
    <x:row r="122">
      <x:c r="A122" t="str">
        <x:v>TX-0121</x:v>
      </x:c>
      <x:c r="B122" s="28" t="n">
        <x:v>46083</x:v>
      </x:c>
      <x:c r="C122" t="str">
        <x:v>Dhaka</x:v>
      </x:c>
      <x:c r="D122" t="str">
        <x:v>Online</x:v>
      </x:c>
      <x:c r="E122" t="str">
        <x:v>Notebook Set</x:v>
      </x:c>
      <x:c r="F122" t="str">
        <x:v>Stationery</x:v>
      </x:c>
      <x:c r="G122" t="n">
        <x:v>3</x:v>
      </x:c>
      <x:c r="H122" s="30" t="n">
        <x:v>320</x:v>
      </x:c>
      <x:c r="I122" s="32" t="n">
        <x:v>0</x:v>
      </x:c>
      <x:c r="J122" s="30" t="n">
        <x:v>960</x:v>
      </x:c>
      <x:c r="K122" s="30" t="n">
        <x:v>510</x:v>
      </x:c>
      <x:c r="L122" s="30" t="n">
        <x:v>450</x:v>
      </x:c>
    </x:row>
    <x:row r="123">
      <x:c r="A123" t="str">
        <x:v>TX-0122</x:v>
      </x:c>
      <x:c r="B123" s="28" t="n">
        <x:v>46083</x:v>
      </x:c>
      <x:c r="C123" t="str">
        <x:v>Chattogram</x:v>
      </x:c>
      <x:c r="D123" t="str">
        <x:v>Online</x:v>
      </x:c>
      <x:c r="E123" t="str">
        <x:v>T-Shirt</x:v>
      </x:c>
      <x:c r="F123" t="str">
        <x:v>Apparel</x:v>
      </x:c>
      <x:c r="G123" t="n">
        <x:v>3</x:v>
      </x:c>
      <x:c r="H123" s="30" t="n">
        <x:v>650</x:v>
      </x:c>
      <x:c r="I123" s="32" t="n">
        <x:v>0.1</x:v>
      </x:c>
      <x:c r="J123" s="30" t="n">
        <x:v>1755</x:v>
      </x:c>
      <x:c r="K123" s="30" t="n">
        <x:v>1080</x:v>
      </x:c>
      <x:c r="L123" s="30" t="n">
        <x:v>675</x:v>
      </x:c>
    </x:row>
    <x:row r="124">
      <x:c r="A124" t="str">
        <x:v>TX-0123</x:v>
      </x:c>
      <x:c r="B124" s="28" t="n">
        <x:v>46084</x:v>
      </x:c>
      <x:c r="C124" t="str">
        <x:v>Rajshahi</x:v>
      </x:c>
      <x:c r="D124" t="str">
        <x:v>Online</x:v>
      </x:c>
      <x:c r="E124" t="str">
        <x:v>Polo Shirt</x:v>
      </x:c>
      <x:c r="F124" t="str">
        <x:v>Apparel</x:v>
      </x:c>
      <x:c r="G124" t="n">
        <x:v>1</x:v>
      </x:c>
      <x:c r="H124" s="30" t="n">
        <x:v>1200</x:v>
      </x:c>
      <x:c r="I124" s="32" t="n">
        <x:v>0</x:v>
      </x:c>
      <x:c r="J124" s="30" t="n">
        <x:v>1200</x:v>
      </x:c>
      <x:c r="K124" s="30" t="n">
        <x:v>720</x:v>
      </x:c>
      <x:c r="L124" s="30" t="n">
        <x:v>480</x:v>
      </x:c>
    </x:row>
    <x:row r="125">
      <x:c r="A125" t="str">
        <x:v>TX-0124</x:v>
      </x:c>
      <x:c r="B125" s="28" t="n">
        <x:v>46084</x:v>
      </x:c>
      <x:c r="C125" t="str">
        <x:v>Khulna</x:v>
      </x:c>
      <x:c r="D125" t="str">
        <x:v>Partner</x:v>
      </x:c>
      <x:c r="E125" t="str">
        <x:v>Sneakers</x:v>
      </x:c>
      <x:c r="F125" t="str">
        <x:v>Footwear</x:v>
      </x:c>
      <x:c r="G125" t="n">
        <x:v>2</x:v>
      </x:c>
      <x:c r="H125" s="30" t="n">
        <x:v>2400</x:v>
      </x:c>
      <x:c r="I125" s="32" t="n">
        <x:v>0.1</x:v>
      </x:c>
      <x:c r="J125" s="30" t="n">
        <x:v>4320</x:v>
      </x:c>
      <x:c r="K125" s="30" t="n">
        <x:v>3100</x:v>
      </x:c>
      <x:c r="L125" s="30" t="n">
        <x:v>1220</x:v>
      </x:c>
    </x:row>
    <x:row r="126">
      <x:c r="A126" t="str">
        <x:v>TX-0125</x:v>
      </x:c>
      <x:c r="B126" s="28" t="n">
        <x:v>46085</x:v>
      </x:c>
      <x:c r="C126" t="str">
        <x:v>Dhaka</x:v>
      </x:c>
      <x:c r="D126" t="str">
        <x:v>Partner</x:v>
      </x:c>
      <x:c r="E126" t="str">
        <x:v>T-Shirt</x:v>
      </x:c>
      <x:c r="F126" t="str">
        <x:v>Apparel</x:v>
      </x:c>
      <x:c r="G126" t="n">
        <x:v>6</x:v>
      </x:c>
      <x:c r="H126" s="30" t="n">
        <x:v>650</x:v>
      </x:c>
      <x:c r="I126" s="32" t="n">
        <x:v>0.1</x:v>
      </x:c>
      <x:c r="J126" s="30" t="n">
        <x:v>3510</x:v>
      </x:c>
      <x:c r="K126" s="30" t="n">
        <x:v>2160</x:v>
      </x:c>
      <x:c r="L126" s="30" t="n">
        <x:v>1350</x:v>
      </x:c>
    </x:row>
    <x:row r="127">
      <x:c r="A127" t="str">
        <x:v>TX-0126</x:v>
      </x:c>
      <x:c r="B127" s="28" t="n">
        <x:v>46085</x:v>
      </x:c>
      <x:c r="C127" t="str">
        <x:v>Chattogram</x:v>
      </x:c>
      <x:c r="D127" t="str">
        <x:v>Partner</x:v>
      </x:c>
      <x:c r="E127" t="str">
        <x:v>Formal Shirt</x:v>
      </x:c>
      <x:c r="F127" t="str">
        <x:v>Apparel</x:v>
      </x:c>
      <x:c r="G127" t="n">
        <x:v>6</x:v>
      </x:c>
      <x:c r="H127" s="30" t="n">
        <x:v>1450</x:v>
      </x:c>
      <x:c r="I127" s="32" t="n">
        <x:v>0</x:v>
      </x:c>
      <x:c r="J127" s="30" t="n">
        <x:v>8700</x:v>
      </x:c>
      <x:c r="K127" s="30" t="n">
        <x:v>5280</x:v>
      </x:c>
      <x:c r="L127" s="30" t="n">
        <x:v>3420</x:v>
      </x:c>
    </x:row>
    <x:row r="128">
      <x:c r="A128" t="str">
        <x:v>TX-0127</x:v>
      </x:c>
      <x:c r="B128" s="28" t="n">
        <x:v>46086</x:v>
      </x:c>
      <x:c r="C128" t="str">
        <x:v>Rajshahi</x:v>
      </x:c>
      <x:c r="D128" t="str">
        <x:v>Store</x:v>
      </x:c>
      <x:c r="E128" t="str">
        <x:v>Notebook Set</x:v>
      </x:c>
      <x:c r="F128" t="str">
        <x:v>Stationery</x:v>
      </x:c>
      <x:c r="G128" t="n">
        <x:v>7</x:v>
      </x:c>
      <x:c r="H128" s="30" t="n">
        <x:v>320</x:v>
      </x:c>
      <x:c r="I128" s="32" t="n">
        <x:v>0</x:v>
      </x:c>
      <x:c r="J128" s="30" t="n">
        <x:v>2240</x:v>
      </x:c>
      <x:c r="K128" s="30" t="n">
        <x:v>1190</x:v>
      </x:c>
      <x:c r="L128" s="30" t="n">
        <x:v>1050</x:v>
      </x:c>
    </x:row>
    <x:row r="129">
      <x:c r="A129" t="str">
        <x:v>TX-0128</x:v>
      </x:c>
      <x:c r="B129" s="28" t="n">
        <x:v>46086</x:v>
      </x:c>
      <x:c r="C129" t="str">
        <x:v>Khulna</x:v>
      </x:c>
      <x:c r="D129" t="str">
        <x:v>Store</x:v>
      </x:c>
      <x:c r="E129" t="str">
        <x:v>Sneakers</x:v>
      </x:c>
      <x:c r="F129" t="str">
        <x:v>Footwear</x:v>
      </x:c>
      <x:c r="G129" t="n">
        <x:v>4</x:v>
      </x:c>
      <x:c r="H129" s="30" t="n">
        <x:v>2400</x:v>
      </x:c>
      <x:c r="I129" s="32" t="n">
        <x:v>0.15</x:v>
      </x:c>
      <x:c r="J129" s="30" t="n">
        <x:v>8160</x:v>
      </x:c>
      <x:c r="K129" s="30" t="n">
        <x:v>6200</x:v>
      </x:c>
      <x:c r="L129" s="30" t="n">
        <x:v>1960</x:v>
      </x:c>
    </x:row>
    <x:row r="130">
      <x:c r="A130" t="str">
        <x:v>TX-0129</x:v>
      </x:c>
      <x:c r="B130" s="28" t="n">
        <x:v>46087</x:v>
      </x:c>
      <x:c r="C130" t="str">
        <x:v>Dhaka</x:v>
      </x:c>
      <x:c r="D130" t="str">
        <x:v>Store</x:v>
      </x:c>
      <x:c r="E130" t="str">
        <x:v>Sneakers</x:v>
      </x:c>
      <x:c r="F130" t="str">
        <x:v>Footwear</x:v>
      </x:c>
      <x:c r="G130" t="n">
        <x:v>4</x:v>
      </x:c>
      <x:c r="H130" s="30" t="n">
        <x:v>2400</x:v>
      </x:c>
      <x:c r="I130" s="32" t="n">
        <x:v>0.1</x:v>
      </x:c>
      <x:c r="J130" s="30" t="n">
        <x:v>8640</x:v>
      </x:c>
      <x:c r="K130" s="30" t="n">
        <x:v>6200</x:v>
      </x:c>
      <x:c r="L130" s="30" t="n">
        <x:v>2440</x:v>
      </x:c>
    </x:row>
    <x:row r="131">
      <x:c r="A131" t="str">
        <x:v>TX-0130</x:v>
      </x:c>
      <x:c r="B131" s="28" t="n">
        <x:v>46087</x:v>
      </x:c>
      <x:c r="C131" t="str">
        <x:v>Chattogram</x:v>
      </x:c>
      <x:c r="D131" t="str">
        <x:v>Online</x:v>
      </x:c>
      <x:c r="E131" t="str">
        <x:v>T-Shirt</x:v>
      </x:c>
      <x:c r="F131" t="str">
        <x:v>Apparel</x:v>
      </x:c>
      <x:c r="G131" t="n">
        <x:v>8</x:v>
      </x:c>
      <x:c r="H131" s="30" t="n">
        <x:v>650</x:v>
      </x:c>
      <x:c r="I131" s="32" t="n">
        <x:v>0.05</x:v>
      </x:c>
      <x:c r="J131" s="30" t="n">
        <x:v>4940</x:v>
      </x:c>
      <x:c r="K131" s="30" t="n">
        <x:v>2880</x:v>
      </x:c>
      <x:c r="L131" s="30" t="n">
        <x:v>2060</x:v>
      </x:c>
    </x:row>
    <x:row r="132">
      <x:c r="A132" t="str">
        <x:v>TX-0131</x:v>
      </x:c>
      <x:c r="B132" s="28" t="n">
        <x:v>46088</x:v>
      </x:c>
      <x:c r="C132" t="str">
        <x:v>Rajshahi</x:v>
      </x:c>
      <x:c r="D132" t="str">
        <x:v>Online</x:v>
      </x:c>
      <x:c r="E132" t="str">
        <x:v>Sneakers</x:v>
      </x:c>
      <x:c r="F132" t="str">
        <x:v>Footwear</x:v>
      </x:c>
      <x:c r="G132" t="n">
        <x:v>8</x:v>
      </x:c>
      <x:c r="H132" s="30" t="n">
        <x:v>2400</x:v>
      </x:c>
      <x:c r="I132" s="32" t="n">
        <x:v>0.05</x:v>
      </x:c>
      <x:c r="J132" s="30" t="n">
        <x:v>18240</x:v>
      </x:c>
      <x:c r="K132" s="30" t="n">
        <x:v>12400</x:v>
      </x:c>
      <x:c r="L132" s="30" t="n">
        <x:v>5840</x:v>
      </x:c>
    </x:row>
    <x:row r="133">
      <x:c r="A133" t="str">
        <x:v>TX-0132</x:v>
      </x:c>
      <x:c r="B133" s="28" t="n">
        <x:v>46088</x:v>
      </x:c>
      <x:c r="C133" t="str">
        <x:v>Khulna</x:v>
      </x:c>
      <x:c r="D133" t="str">
        <x:v>Online</x:v>
      </x:c>
      <x:c r="E133" t="str">
        <x:v>Notebook Set</x:v>
      </x:c>
      <x:c r="F133" t="str">
        <x:v>Stationery</x:v>
      </x:c>
      <x:c r="G133" t="n">
        <x:v>1</x:v>
      </x:c>
      <x:c r="H133" s="30" t="n">
        <x:v>320</x:v>
      </x:c>
      <x:c r="I133" s="32" t="n">
        <x:v>0.1</x:v>
      </x:c>
      <x:c r="J133" s="30" t="n">
        <x:v>288</x:v>
      </x:c>
      <x:c r="K133" s="30" t="n">
        <x:v>170</x:v>
      </x:c>
      <x:c r="L133" s="30" t="n">
        <x:v>118</x:v>
      </x:c>
    </x:row>
    <x:row r="134">
      <x:c r="A134" t="str">
        <x:v>TX-0133</x:v>
      </x:c>
      <x:c r="B134" s="28" t="n">
        <x:v>46089</x:v>
      </x:c>
      <x:c r="C134" t="str">
        <x:v>Dhaka</x:v>
      </x:c>
      <x:c r="D134" t="str">
        <x:v>Partner</x:v>
      </x:c>
      <x:c r="E134" t="str">
        <x:v>Polo Shirt</x:v>
      </x:c>
      <x:c r="F134" t="str">
        <x:v>Apparel</x:v>
      </x:c>
      <x:c r="G134" t="n">
        <x:v>6</x:v>
      </x:c>
      <x:c r="H134" s="30" t="n">
        <x:v>1200</x:v>
      </x:c>
      <x:c r="I134" s="32" t="n">
        <x:v>0</x:v>
      </x:c>
      <x:c r="J134" s="30" t="n">
        <x:v>7200</x:v>
      </x:c>
      <x:c r="K134" s="30" t="n">
        <x:v>4320</x:v>
      </x:c>
      <x:c r="L134" s="30" t="n">
        <x:v>2880</x:v>
      </x:c>
    </x:row>
    <x:row r="135">
      <x:c r="A135" t="str">
        <x:v>TX-0134</x:v>
      </x:c>
      <x:c r="B135" s="28" t="n">
        <x:v>46089</x:v>
      </x:c>
      <x:c r="C135" t="str">
        <x:v>Chattogram</x:v>
      </x:c>
      <x:c r="D135" t="str">
        <x:v>Partner</x:v>
      </x:c>
      <x:c r="E135" t="str">
        <x:v>Polo Shirt</x:v>
      </x:c>
      <x:c r="F135" t="str">
        <x:v>Apparel</x:v>
      </x:c>
      <x:c r="G135" t="n">
        <x:v>4</x:v>
      </x:c>
      <x:c r="H135" s="30" t="n">
        <x:v>1200</x:v>
      </x:c>
      <x:c r="I135" s="32" t="n">
        <x:v>0.1</x:v>
      </x:c>
      <x:c r="J135" s="30" t="n">
        <x:v>4320</x:v>
      </x:c>
      <x:c r="K135" s="30" t="n">
        <x:v>2880</x:v>
      </x:c>
      <x:c r="L135" s="30" t="n">
        <x:v>1440</x:v>
      </x:c>
    </x:row>
    <x:row r="136">
      <x:c r="A136" t="str">
        <x:v>TX-0135</x:v>
      </x:c>
      <x:c r="B136" s="28" t="n">
        <x:v>46090</x:v>
      </x:c>
      <x:c r="C136" t="str">
        <x:v>Rajshahi</x:v>
      </x:c>
      <x:c r="D136" t="str">
        <x:v>Partner</x:v>
      </x:c>
      <x:c r="E136" t="str">
        <x:v>T-Shirt</x:v>
      </x:c>
      <x:c r="F136" t="str">
        <x:v>Apparel</x:v>
      </x:c>
      <x:c r="G136" t="n">
        <x:v>6</x:v>
      </x:c>
      <x:c r="H136" s="30" t="n">
        <x:v>650</x:v>
      </x:c>
      <x:c r="I136" s="32" t="n">
        <x:v>0</x:v>
      </x:c>
      <x:c r="J136" s="30" t="n">
        <x:v>3900</x:v>
      </x:c>
      <x:c r="K136" s="30" t="n">
        <x:v>2160</x:v>
      </x:c>
      <x:c r="L136" s="30" t="n">
        <x:v>1740</x:v>
      </x:c>
    </x:row>
    <x:row r="137">
      <x:c r="A137" t="str">
        <x:v>TX-0136</x:v>
      </x:c>
      <x:c r="B137" s="28" t="n">
        <x:v>46090</x:v>
      </x:c>
      <x:c r="C137" t="str">
        <x:v>Khulna</x:v>
      </x:c>
      <x:c r="D137" t="str">
        <x:v>Store</x:v>
      </x:c>
      <x:c r="E137" t="str">
        <x:v>Backpack</x:v>
      </x:c>
      <x:c r="F137" t="str">
        <x:v>Accessories</x:v>
      </x:c>
      <x:c r="G137" t="n">
        <x:v>4</x:v>
      </x:c>
      <x:c r="H137" s="30" t="n">
        <x:v>1800</x:v>
      </x:c>
      <x:c r="I137" s="32" t="n">
        <x:v>0.05</x:v>
      </x:c>
      <x:c r="J137" s="30" t="n">
        <x:v>6840</x:v>
      </x:c>
      <x:c r="K137" s="30" t="n">
        <x:v>4480</x:v>
      </x:c>
      <x:c r="L137" s="30" t="n">
        <x:v>2360</x:v>
      </x:c>
    </x:row>
    <x:row r="138">
      <x:c r="A138" t="str">
        <x:v>TX-0137</x:v>
      </x:c>
      <x:c r="B138" s="28" t="n">
        <x:v>46091</x:v>
      </x:c>
      <x:c r="C138" t="str">
        <x:v>Dhaka</x:v>
      </x:c>
      <x:c r="D138" t="str">
        <x:v>Store</x:v>
      </x:c>
      <x:c r="E138" t="str">
        <x:v>Backpack</x:v>
      </x:c>
      <x:c r="F138" t="str">
        <x:v>Accessories</x:v>
      </x:c>
      <x:c r="G138" t="n">
        <x:v>1</x:v>
      </x:c>
      <x:c r="H138" s="30" t="n">
        <x:v>1800</x:v>
      </x:c>
      <x:c r="I138" s="32" t="n">
        <x:v>0.05</x:v>
      </x:c>
      <x:c r="J138" s="30" t="n">
        <x:v>1710</x:v>
      </x:c>
      <x:c r="K138" s="30" t="n">
        <x:v>1120</x:v>
      </x:c>
      <x:c r="L138" s="30" t="n">
        <x:v>590</x:v>
      </x:c>
    </x:row>
    <x:row r="139">
      <x:c r="A139" t="str">
        <x:v>TX-0138</x:v>
      </x:c>
      <x:c r="B139" s="28" t="n">
        <x:v>46091</x:v>
      </x:c>
      <x:c r="C139" t="str">
        <x:v>Chattogram</x:v>
      </x:c>
      <x:c r="D139" t="str">
        <x:v>Store</x:v>
      </x:c>
      <x:c r="E139" t="str">
        <x:v>Polo Shirt</x:v>
      </x:c>
      <x:c r="F139" t="str">
        <x:v>Apparel</x:v>
      </x:c>
      <x:c r="G139" t="n">
        <x:v>1</x:v>
      </x:c>
      <x:c r="H139" s="30" t="n">
        <x:v>1200</x:v>
      </x:c>
      <x:c r="I139" s="32" t="n">
        <x:v>0.1</x:v>
      </x:c>
      <x:c r="J139" s="30" t="n">
        <x:v>1080</x:v>
      </x:c>
      <x:c r="K139" s="30" t="n">
        <x:v>720</x:v>
      </x:c>
      <x:c r="L139" s="30" t="n">
        <x:v>360</x:v>
      </x:c>
    </x:row>
    <x:row r="140">
      <x:c r="A140" t="str">
        <x:v>TX-0139</x:v>
      </x:c>
      <x:c r="B140" s="28" t="n">
        <x:v>46092</x:v>
      </x:c>
      <x:c r="C140" t="str">
        <x:v>Rajshahi</x:v>
      </x:c>
      <x:c r="D140" t="str">
        <x:v>Online</x:v>
      </x:c>
      <x:c r="E140" t="str">
        <x:v>Notebook Set</x:v>
      </x:c>
      <x:c r="F140" t="str">
        <x:v>Stationery</x:v>
      </x:c>
      <x:c r="G140" t="n">
        <x:v>7</x:v>
      </x:c>
      <x:c r="H140" s="30" t="n">
        <x:v>320</x:v>
      </x:c>
      <x:c r="I140" s="32" t="n">
        <x:v>0.1</x:v>
      </x:c>
      <x:c r="J140" s="30" t="n">
        <x:v>2016</x:v>
      </x:c>
      <x:c r="K140" s="30" t="n">
        <x:v>1190</x:v>
      </x:c>
      <x:c r="L140" s="30" t="n">
        <x:v>826</x:v>
      </x:c>
    </x:row>
    <x:row r="141">
      <x:c r="A141" t="str">
        <x:v>TX-0140</x:v>
      </x:c>
      <x:c r="B141" s="28" t="n">
        <x:v>46092</x:v>
      </x:c>
      <x:c r="C141" t="str">
        <x:v>Khulna</x:v>
      </x:c>
      <x:c r="D141" t="str">
        <x:v>Online</x:v>
      </x:c>
      <x:c r="E141" t="str">
        <x:v>Polo Shirt</x:v>
      </x:c>
      <x:c r="F141" t="str">
        <x:v>Apparel</x:v>
      </x:c>
      <x:c r="G141" t="n">
        <x:v>8</x:v>
      </x:c>
      <x:c r="H141" s="30" t="n">
        <x:v>1200</x:v>
      </x:c>
      <x:c r="I141" s="32" t="n">
        <x:v>0.05</x:v>
      </x:c>
      <x:c r="J141" s="30" t="n">
        <x:v>9120</x:v>
      </x:c>
      <x:c r="K141" s="30" t="n">
        <x:v>5760</x:v>
      </x:c>
      <x:c r="L141" s="30" t="n">
        <x:v>3360</x:v>
      </x:c>
    </x:row>
    <x:row r="142">
      <x:c r="A142" t="str">
        <x:v>TX-0141</x:v>
      </x:c>
      <x:c r="B142" s="28" t="n">
        <x:v>46093</x:v>
      </x:c>
      <x:c r="C142" t="str">
        <x:v>Dhaka</x:v>
      </x:c>
      <x:c r="D142" t="str">
        <x:v>Online</x:v>
      </x:c>
      <x:c r="E142" t="str">
        <x:v>Backpack</x:v>
      </x:c>
      <x:c r="F142" t="str">
        <x:v>Accessories</x:v>
      </x:c>
      <x:c r="G142" t="n">
        <x:v>6</x:v>
      </x:c>
      <x:c r="H142" s="30" t="n">
        <x:v>1800</x:v>
      </x:c>
      <x:c r="I142" s="32" t="n">
        <x:v>0.15</x:v>
      </x:c>
      <x:c r="J142" s="30" t="n">
        <x:v>9180</x:v>
      </x:c>
      <x:c r="K142" s="30" t="n">
        <x:v>6720</x:v>
      </x:c>
      <x:c r="L142" s="30" t="n">
        <x:v>2460</x:v>
      </x:c>
    </x:row>
    <x:row r="143">
      <x:c r="A143" t="str">
        <x:v>TX-0142</x:v>
      </x:c>
      <x:c r="B143" s="28" t="n">
        <x:v>46093</x:v>
      </x:c>
      <x:c r="C143" t="str">
        <x:v>Chattogram</x:v>
      </x:c>
      <x:c r="D143" t="str">
        <x:v>Partner</x:v>
      </x:c>
      <x:c r="E143" t="str">
        <x:v>Backpack</x:v>
      </x:c>
      <x:c r="F143" t="str">
        <x:v>Accessories</x:v>
      </x:c>
      <x:c r="G143" t="n">
        <x:v>7</x:v>
      </x:c>
      <x:c r="H143" s="30" t="n">
        <x:v>1800</x:v>
      </x:c>
      <x:c r="I143" s="32" t="n">
        <x:v>0.1</x:v>
      </x:c>
      <x:c r="J143" s="30" t="n">
        <x:v>11340</x:v>
      </x:c>
      <x:c r="K143" s="30" t="n">
        <x:v>7840</x:v>
      </x:c>
      <x:c r="L143" s="30" t="n">
        <x:v>3500</x:v>
      </x:c>
    </x:row>
    <x:row r="144">
      <x:c r="A144" t="str">
        <x:v>TX-0143</x:v>
      </x:c>
      <x:c r="B144" s="28" t="n">
        <x:v>46094</x:v>
      </x:c>
      <x:c r="C144" t="str">
        <x:v>Rajshahi</x:v>
      </x:c>
      <x:c r="D144" t="str">
        <x:v>Partner</x:v>
      </x:c>
      <x:c r="E144" t="str">
        <x:v>Notebook Set</x:v>
      </x:c>
      <x:c r="F144" t="str">
        <x:v>Stationery</x:v>
      </x:c>
      <x:c r="G144" t="n">
        <x:v>4</x:v>
      </x:c>
      <x:c r="H144" s="30" t="n">
        <x:v>320</x:v>
      </x:c>
      <x:c r="I144" s="32" t="n">
        <x:v>0.15</x:v>
      </x:c>
      <x:c r="J144" s="30" t="n">
        <x:v>1088</x:v>
      </x:c>
      <x:c r="K144" s="30" t="n">
        <x:v>680</x:v>
      </x:c>
      <x:c r="L144" s="30" t="n">
        <x:v>408</x:v>
      </x:c>
    </x:row>
    <x:row r="145">
      <x:c r="A145" t="str">
        <x:v>TX-0144</x:v>
      </x:c>
      <x:c r="B145" s="28" t="n">
        <x:v>46094</x:v>
      </x:c>
      <x:c r="C145" t="str">
        <x:v>Khulna</x:v>
      </x:c>
      <x:c r="D145" t="str">
        <x:v>Partner</x:v>
      </x:c>
      <x:c r="E145" t="str">
        <x:v>Formal Shirt</x:v>
      </x:c>
      <x:c r="F145" t="str">
        <x:v>Apparel</x:v>
      </x:c>
      <x:c r="G145" t="n">
        <x:v>5</x:v>
      </x:c>
      <x:c r="H145" s="30" t="n">
        <x:v>1450</x:v>
      </x:c>
      <x:c r="I145" s="32" t="n">
        <x:v>0</x:v>
      </x:c>
      <x:c r="J145" s="30" t="n">
        <x:v>7250</x:v>
      </x:c>
      <x:c r="K145" s="30" t="n">
        <x:v>4400</x:v>
      </x:c>
      <x:c r="L145" s="30" t="n">
        <x:v>2850</x:v>
      </x:c>
    </x:row>
    <x:row r="146">
      <x:c r="A146" t="str">
        <x:v>TX-0145</x:v>
      </x:c>
      <x:c r="B146" s="28" t="n">
        <x:v>46095</x:v>
      </x:c>
      <x:c r="C146" t="str">
        <x:v>Dhaka</x:v>
      </x:c>
      <x:c r="D146" t="str">
        <x:v>Store</x:v>
      </x:c>
      <x:c r="E146" t="str">
        <x:v>T-Shirt</x:v>
      </x:c>
      <x:c r="F146" t="str">
        <x:v>Apparel</x:v>
      </x:c>
      <x:c r="G146" t="n">
        <x:v>1</x:v>
      </x:c>
      <x:c r="H146" s="30" t="n">
        <x:v>650</x:v>
      </x:c>
      <x:c r="I146" s="32" t="n">
        <x:v>0.15</x:v>
      </x:c>
      <x:c r="J146" s="30" t="n">
        <x:v>552.5</x:v>
      </x:c>
      <x:c r="K146" s="30" t="n">
        <x:v>360</x:v>
      </x:c>
      <x:c r="L146" s="30" t="n">
        <x:v>192.5</x:v>
      </x:c>
    </x:row>
    <x:row r="147">
      <x:c r="A147" t="str">
        <x:v>TX-0146</x:v>
      </x:c>
      <x:c r="B147" s="28" t="n">
        <x:v>46095</x:v>
      </x:c>
      <x:c r="C147" t="str">
        <x:v>Chattogram</x:v>
      </x:c>
      <x:c r="D147" t="str">
        <x:v>Store</x:v>
      </x:c>
      <x:c r="E147" t="str">
        <x:v>Notebook Set</x:v>
      </x:c>
      <x:c r="F147" t="str">
        <x:v>Stationery</x:v>
      </x:c>
      <x:c r="G147" t="n">
        <x:v>1</x:v>
      </x:c>
      <x:c r="H147" s="30" t="n">
        <x:v>320</x:v>
      </x:c>
      <x:c r="I147" s="32" t="n">
        <x:v>0.05</x:v>
      </x:c>
      <x:c r="J147" s="30" t="n">
        <x:v>304</x:v>
      </x:c>
      <x:c r="K147" s="30" t="n">
        <x:v>170</x:v>
      </x:c>
      <x:c r="L147" s="30" t="n">
        <x:v>134</x:v>
      </x:c>
    </x:row>
    <x:row r="148">
      <x:c r="A148" t="str">
        <x:v>TX-0147</x:v>
      </x:c>
      <x:c r="B148" s="28" t="n">
        <x:v>46096</x:v>
      </x:c>
      <x:c r="C148" t="str">
        <x:v>Rajshahi</x:v>
      </x:c>
      <x:c r="D148" t="str">
        <x:v>Store</x:v>
      </x:c>
      <x:c r="E148" t="str">
        <x:v>Polo Shirt</x:v>
      </x:c>
      <x:c r="F148" t="str">
        <x:v>Apparel</x:v>
      </x:c>
      <x:c r="G148" t="n">
        <x:v>1</x:v>
      </x:c>
      <x:c r="H148" s="30" t="n">
        <x:v>1200</x:v>
      </x:c>
      <x:c r="I148" s="32" t="n">
        <x:v>0</x:v>
      </x:c>
      <x:c r="J148" s="30" t="n">
        <x:v>1200</x:v>
      </x:c>
      <x:c r="K148" s="30" t="n">
        <x:v>720</x:v>
      </x:c>
      <x:c r="L148" s="30" t="n">
        <x:v>480</x:v>
      </x:c>
    </x:row>
    <x:row r="149">
      <x:c r="A149" t="str">
        <x:v>TX-0148</x:v>
      </x:c>
      <x:c r="B149" s="28" t="n">
        <x:v>46096</x:v>
      </x:c>
      <x:c r="C149" t="str">
        <x:v>Khulna</x:v>
      </x:c>
      <x:c r="D149" t="str">
        <x:v>Online</x:v>
      </x:c>
      <x:c r="E149" t="str">
        <x:v>Notebook Set</x:v>
      </x:c>
      <x:c r="F149" t="str">
        <x:v>Stationery</x:v>
      </x:c>
      <x:c r="G149" t="n">
        <x:v>8</x:v>
      </x:c>
      <x:c r="H149" s="30" t="n">
        <x:v>320</x:v>
      </x:c>
      <x:c r="I149" s="32" t="n">
        <x:v>0.05</x:v>
      </x:c>
      <x:c r="J149" s="30" t="n">
        <x:v>2432</x:v>
      </x:c>
      <x:c r="K149" s="30" t="n">
        <x:v>1360</x:v>
      </x:c>
      <x:c r="L149" s="30" t="n">
        <x:v>1072</x:v>
      </x:c>
    </x:row>
    <x:row r="150">
      <x:c r="A150" t="str">
        <x:v>TX-0149</x:v>
      </x:c>
      <x:c r="B150" s="28" t="n">
        <x:v>46097</x:v>
      </x:c>
      <x:c r="C150" t="str">
        <x:v>Dhaka</x:v>
      </x:c>
      <x:c r="D150" t="str">
        <x:v>Online</x:v>
      </x:c>
      <x:c r="E150" t="str">
        <x:v>Notebook Set</x:v>
      </x:c>
      <x:c r="F150" t="str">
        <x:v>Stationery</x:v>
      </x:c>
      <x:c r="G150" t="n">
        <x:v>8</x:v>
      </x:c>
      <x:c r="H150" s="30" t="n">
        <x:v>320</x:v>
      </x:c>
      <x:c r="I150" s="32" t="n">
        <x:v>0.05</x:v>
      </x:c>
      <x:c r="J150" s="30" t="n">
        <x:v>2432</x:v>
      </x:c>
      <x:c r="K150" s="30" t="n">
        <x:v>1360</x:v>
      </x:c>
      <x:c r="L150" s="30" t="n">
        <x:v>1072</x:v>
      </x:c>
    </x:row>
    <x:row r="151">
      <x:c r="A151" t="str">
        <x:v>TX-0150</x:v>
      </x:c>
      <x:c r="B151" s="28" t="n">
        <x:v>46097</x:v>
      </x:c>
      <x:c r="C151" t="str">
        <x:v>Chattogram</x:v>
      </x:c>
      <x:c r="D151" t="str">
        <x:v>Online</x:v>
      </x:c>
      <x:c r="E151" t="str">
        <x:v>Backpack</x:v>
      </x:c>
      <x:c r="F151" t="str">
        <x:v>Accessories</x:v>
      </x:c>
      <x:c r="G151" t="n">
        <x:v>6</x:v>
      </x:c>
      <x:c r="H151" s="30" t="n">
        <x:v>1800</x:v>
      </x:c>
      <x:c r="I151" s="32" t="n">
        <x:v>0</x:v>
      </x:c>
      <x:c r="J151" s="30" t="n">
        <x:v>10800</x:v>
      </x:c>
      <x:c r="K151" s="30" t="n">
        <x:v>6720</x:v>
      </x:c>
      <x:c r="L151" s="30" t="n">
        <x:v>4080</x:v>
      </x:c>
    </x:row>
    <x:row r="152">
      <x:c r="A152" t="str">
        <x:v>TX-0151</x:v>
      </x:c>
      <x:c r="B152" s="28" t="n">
        <x:v>46098</x:v>
      </x:c>
      <x:c r="C152" t="str">
        <x:v>Rajshahi</x:v>
      </x:c>
      <x:c r="D152" t="str">
        <x:v>Partner</x:v>
      </x:c>
      <x:c r="E152" t="str">
        <x:v>Backpack</x:v>
      </x:c>
      <x:c r="F152" t="str">
        <x:v>Accessories</x:v>
      </x:c>
      <x:c r="G152" t="n">
        <x:v>7</x:v>
      </x:c>
      <x:c r="H152" s="30" t="n">
        <x:v>1800</x:v>
      </x:c>
      <x:c r="I152" s="32" t="n">
        <x:v>0.15</x:v>
      </x:c>
      <x:c r="J152" s="30" t="n">
        <x:v>10710</x:v>
      </x:c>
      <x:c r="K152" s="30" t="n">
        <x:v>7840</x:v>
      </x:c>
      <x:c r="L152" s="30" t="n">
        <x:v>2870</x:v>
      </x:c>
    </x:row>
    <x:row r="153">
      <x:c r="A153" t="str">
        <x:v>TX-0152</x:v>
      </x:c>
      <x:c r="B153" s="28" t="n">
        <x:v>46098</x:v>
      </x:c>
      <x:c r="C153" t="str">
        <x:v>Khulna</x:v>
      </x:c>
      <x:c r="D153" t="str">
        <x:v>Partner</x:v>
      </x:c>
      <x:c r="E153" t="str">
        <x:v>Sneakers</x:v>
      </x:c>
      <x:c r="F153" t="str">
        <x:v>Footwear</x:v>
      </x:c>
      <x:c r="G153" t="n">
        <x:v>2</x:v>
      </x:c>
      <x:c r="H153" s="30" t="n">
        <x:v>2400</x:v>
      </x:c>
      <x:c r="I153" s="32" t="n">
        <x:v>0.15</x:v>
      </x:c>
      <x:c r="J153" s="30" t="n">
        <x:v>4080</x:v>
      </x:c>
      <x:c r="K153" s="30" t="n">
        <x:v>3100</x:v>
      </x:c>
      <x:c r="L153" s="30" t="n">
        <x:v>980</x:v>
      </x:c>
    </x:row>
    <x:row r="154">
      <x:c r="A154" t="str">
        <x:v>TX-0153</x:v>
      </x:c>
      <x:c r="B154" s="28" t="n">
        <x:v>46099</x:v>
      </x:c>
      <x:c r="C154" t="str">
        <x:v>Dhaka</x:v>
      </x:c>
      <x:c r="D154" t="str">
        <x:v>Partner</x:v>
      </x:c>
      <x:c r="E154" t="str">
        <x:v>Sneakers</x:v>
      </x:c>
      <x:c r="F154" t="str">
        <x:v>Footwear</x:v>
      </x:c>
      <x:c r="G154" t="n">
        <x:v>1</x:v>
      </x:c>
      <x:c r="H154" s="30" t="n">
        <x:v>2400</x:v>
      </x:c>
      <x:c r="I154" s="32" t="n">
        <x:v>0.15</x:v>
      </x:c>
      <x:c r="J154" s="30" t="n">
        <x:v>2040</x:v>
      </x:c>
      <x:c r="K154" s="30" t="n">
        <x:v>1550</x:v>
      </x:c>
      <x:c r="L154" s="30" t="n">
        <x:v>490</x:v>
      </x:c>
    </x:row>
    <x:row r="155">
      <x:c r="A155" t="str">
        <x:v>TX-0154</x:v>
      </x:c>
      <x:c r="B155" s="28" t="n">
        <x:v>46099</x:v>
      </x:c>
      <x:c r="C155" t="str">
        <x:v>Chattogram</x:v>
      </x:c>
      <x:c r="D155" t="str">
        <x:v>Store</x:v>
      </x:c>
      <x:c r="E155" t="str">
        <x:v>Sneakers</x:v>
      </x:c>
      <x:c r="F155" t="str">
        <x:v>Footwear</x:v>
      </x:c>
      <x:c r="G155" t="n">
        <x:v>8</x:v>
      </x:c>
      <x:c r="H155" s="30" t="n">
        <x:v>2400</x:v>
      </x:c>
      <x:c r="I155" s="32" t="n">
        <x:v>0.05</x:v>
      </x:c>
      <x:c r="J155" s="30" t="n">
        <x:v>18240</x:v>
      </x:c>
      <x:c r="K155" s="30" t="n">
        <x:v>12400</x:v>
      </x:c>
      <x:c r="L155" s="30" t="n">
        <x:v>5840</x:v>
      </x:c>
    </x:row>
    <x:row r="156">
      <x:c r="A156" t="str">
        <x:v>TX-0155</x:v>
      </x:c>
      <x:c r="B156" s="28" t="n">
        <x:v>46100</x:v>
      </x:c>
      <x:c r="C156" t="str">
        <x:v>Rajshahi</x:v>
      </x:c>
      <x:c r="D156" t="str">
        <x:v>Store</x:v>
      </x:c>
      <x:c r="E156" t="str">
        <x:v>Backpack</x:v>
      </x:c>
      <x:c r="F156" t="str">
        <x:v>Accessories</x:v>
      </x:c>
      <x:c r="G156" t="n">
        <x:v>8</x:v>
      </x:c>
      <x:c r="H156" s="30" t="n">
        <x:v>1800</x:v>
      </x:c>
      <x:c r="I156" s="32" t="n">
        <x:v>0</x:v>
      </x:c>
      <x:c r="J156" s="30" t="n">
        <x:v>14400</x:v>
      </x:c>
      <x:c r="K156" s="30" t="n">
        <x:v>8960</x:v>
      </x:c>
      <x:c r="L156" s="30" t="n">
        <x:v>5440</x:v>
      </x:c>
    </x:row>
    <x:row r="157">
      <x:c r="A157" t="str">
        <x:v>TX-0156</x:v>
      </x:c>
      <x:c r="B157" s="28" t="n">
        <x:v>46100</x:v>
      </x:c>
      <x:c r="C157" t="str">
        <x:v>Khulna</x:v>
      </x:c>
      <x:c r="D157" t="str">
        <x:v>Store</x:v>
      </x:c>
      <x:c r="E157" t="str">
        <x:v>Notebook Set</x:v>
      </x:c>
      <x:c r="F157" t="str">
        <x:v>Stationery</x:v>
      </x:c>
      <x:c r="G157" t="n">
        <x:v>2</x:v>
      </x:c>
      <x:c r="H157" s="30" t="n">
        <x:v>320</x:v>
      </x:c>
      <x:c r="I157" s="32" t="n">
        <x:v>0.1</x:v>
      </x:c>
      <x:c r="J157" s="30" t="n">
        <x:v>576</x:v>
      </x:c>
      <x:c r="K157" s="30" t="n">
        <x:v>340</x:v>
      </x:c>
      <x:c r="L157" s="30" t="n">
        <x:v>236</x:v>
      </x:c>
    </x:row>
    <x:row r="158">
      <x:c r="A158" t="str">
        <x:v>TX-0157</x:v>
      </x:c>
      <x:c r="B158" s="28" t="n">
        <x:v>46101</x:v>
      </x:c>
      <x:c r="C158" t="str">
        <x:v>Dhaka</x:v>
      </x:c>
      <x:c r="D158" t="str">
        <x:v>Online</x:v>
      </x:c>
      <x:c r="E158" t="str">
        <x:v>Formal Shirt</x:v>
      </x:c>
      <x:c r="F158" t="str">
        <x:v>Apparel</x:v>
      </x:c>
      <x:c r="G158" t="n">
        <x:v>8</x:v>
      </x:c>
      <x:c r="H158" s="30" t="n">
        <x:v>1450</x:v>
      </x:c>
      <x:c r="I158" s="32" t="n">
        <x:v>0</x:v>
      </x:c>
      <x:c r="J158" s="30" t="n">
        <x:v>11600</x:v>
      </x:c>
      <x:c r="K158" s="30" t="n">
        <x:v>7040</x:v>
      </x:c>
      <x:c r="L158" s="30" t="n">
        <x:v>4560</x:v>
      </x:c>
    </x:row>
    <x:row r="159">
      <x:c r="A159" t="str">
        <x:v>TX-0158</x:v>
      </x:c>
      <x:c r="B159" s="28" t="n">
        <x:v>46101</x:v>
      </x:c>
      <x:c r="C159" t="str">
        <x:v>Chattogram</x:v>
      </x:c>
      <x:c r="D159" t="str">
        <x:v>Online</x:v>
      </x:c>
      <x:c r="E159" t="str">
        <x:v>Polo Shirt</x:v>
      </x:c>
      <x:c r="F159" t="str">
        <x:v>Apparel</x:v>
      </x:c>
      <x:c r="G159" t="n">
        <x:v>4</x:v>
      </x:c>
      <x:c r="H159" s="30" t="n">
        <x:v>1200</x:v>
      </x:c>
      <x:c r="I159" s="32" t="n">
        <x:v>0.15</x:v>
      </x:c>
      <x:c r="J159" s="30" t="n">
        <x:v>4080</x:v>
      </x:c>
      <x:c r="K159" s="30" t="n">
        <x:v>2880</x:v>
      </x:c>
      <x:c r="L159" s="30" t="n">
        <x:v>1200</x:v>
      </x:c>
    </x:row>
    <x:row r="160">
      <x:c r="A160" t="str">
        <x:v>TX-0159</x:v>
      </x:c>
      <x:c r="B160" s="28" t="n">
        <x:v>46102</x:v>
      </x:c>
      <x:c r="C160" t="str">
        <x:v>Rajshahi</x:v>
      </x:c>
      <x:c r="D160" t="str">
        <x:v>Online</x:v>
      </x:c>
      <x:c r="E160" t="str">
        <x:v>Notebook Set</x:v>
      </x:c>
      <x:c r="F160" t="str">
        <x:v>Stationery</x:v>
      </x:c>
      <x:c r="G160" t="n">
        <x:v>4</x:v>
      </x:c>
      <x:c r="H160" s="30" t="n">
        <x:v>320</x:v>
      </x:c>
      <x:c r="I160" s="32" t="n">
        <x:v>0.15</x:v>
      </x:c>
      <x:c r="J160" s="30" t="n">
        <x:v>1088</x:v>
      </x:c>
      <x:c r="K160" s="30" t="n">
        <x:v>680</x:v>
      </x:c>
      <x:c r="L160" s="30" t="n">
        <x:v>408</x:v>
      </x:c>
    </x:row>
    <x:row r="161">
      <x:c r="A161" t="str">
        <x:v>TX-0160</x:v>
      </x:c>
      <x:c r="B161" s="28" t="n">
        <x:v>46102</x:v>
      </x:c>
      <x:c r="C161" t="str">
        <x:v>Khulna</x:v>
      </x:c>
      <x:c r="D161" t="str">
        <x:v>Partner</x:v>
      </x:c>
      <x:c r="E161" t="str">
        <x:v>Sneakers</x:v>
      </x:c>
      <x:c r="F161" t="str">
        <x:v>Footwear</x:v>
      </x:c>
      <x:c r="G161" t="n">
        <x:v>5</x:v>
      </x:c>
      <x:c r="H161" s="30" t="n">
        <x:v>2400</x:v>
      </x:c>
      <x:c r="I161" s="32" t="n">
        <x:v>0</x:v>
      </x:c>
      <x:c r="J161" s="30" t="n">
        <x:v>12000</x:v>
      </x:c>
      <x:c r="K161" s="30" t="n">
        <x:v>7750</x:v>
      </x:c>
      <x:c r="L161" s="30" t="n">
        <x:v>4250</x:v>
      </x:c>
    </x:row>
    <x:row r="162">
      <x:c r="A162" t="str">
        <x:v>TX-0161</x:v>
      </x:c>
      <x:c r="B162" s="28" t="n">
        <x:v>46103</x:v>
      </x:c>
      <x:c r="C162" t="str">
        <x:v>Dhaka</x:v>
      </x:c>
      <x:c r="D162" t="str">
        <x:v>Partner</x:v>
      </x:c>
      <x:c r="E162" t="str">
        <x:v>Notebook Set</x:v>
      </x:c>
      <x:c r="F162" t="str">
        <x:v>Stationery</x:v>
      </x:c>
      <x:c r="G162" t="n">
        <x:v>2</x:v>
      </x:c>
      <x:c r="H162" s="30" t="n">
        <x:v>320</x:v>
      </x:c>
      <x:c r="I162" s="32" t="n">
        <x:v>0</x:v>
      </x:c>
      <x:c r="J162" s="30" t="n">
        <x:v>640</x:v>
      </x:c>
      <x:c r="K162" s="30" t="n">
        <x:v>340</x:v>
      </x:c>
      <x:c r="L162" s="30" t="n">
        <x:v>300</x:v>
      </x:c>
    </x:row>
    <x:row r="163">
      <x:c r="A163" t="str">
        <x:v>TX-0162</x:v>
      </x:c>
      <x:c r="B163" s="28" t="n">
        <x:v>46103</x:v>
      </x:c>
      <x:c r="C163" t="str">
        <x:v>Chattogram</x:v>
      </x:c>
      <x:c r="D163" t="str">
        <x:v>Partner</x:v>
      </x:c>
      <x:c r="E163" t="str">
        <x:v>Formal Shirt</x:v>
      </x:c>
      <x:c r="F163" t="str">
        <x:v>Apparel</x:v>
      </x:c>
      <x:c r="G163" t="n">
        <x:v>3</x:v>
      </x:c>
      <x:c r="H163" s="30" t="n">
        <x:v>1450</x:v>
      </x:c>
      <x:c r="I163" s="32" t="n">
        <x:v>0.15</x:v>
      </x:c>
      <x:c r="J163" s="30" t="n">
        <x:v>3697.5</x:v>
      </x:c>
      <x:c r="K163" s="30" t="n">
        <x:v>2640</x:v>
      </x:c>
      <x:c r="L163" s="30" t="n">
        <x:v>1057.5</x:v>
      </x:c>
    </x:row>
    <x:row r="164">
      <x:c r="A164" t="str">
        <x:v>TX-0163</x:v>
      </x:c>
      <x:c r="B164" s="28" t="n">
        <x:v>46104</x:v>
      </x:c>
      <x:c r="C164" t="str">
        <x:v>Rajshahi</x:v>
      </x:c>
      <x:c r="D164" t="str">
        <x:v>Store</x:v>
      </x:c>
      <x:c r="E164" t="str">
        <x:v>Polo Shirt</x:v>
      </x:c>
      <x:c r="F164" t="str">
        <x:v>Apparel</x:v>
      </x:c>
      <x:c r="G164" t="n">
        <x:v>2</x:v>
      </x:c>
      <x:c r="H164" s="30" t="n">
        <x:v>1200</x:v>
      </x:c>
      <x:c r="I164" s="32" t="n">
        <x:v>0</x:v>
      </x:c>
      <x:c r="J164" s="30" t="n">
        <x:v>2400</x:v>
      </x:c>
      <x:c r="K164" s="30" t="n">
        <x:v>1440</x:v>
      </x:c>
      <x:c r="L164" s="30" t="n">
        <x:v>960</x:v>
      </x:c>
    </x:row>
    <x:row r="165">
      <x:c r="A165" t="str">
        <x:v>TX-0164</x:v>
      </x:c>
      <x:c r="B165" s="28" t="n">
        <x:v>46104</x:v>
      </x:c>
      <x:c r="C165" t="str">
        <x:v>Khulna</x:v>
      </x:c>
      <x:c r="D165" t="str">
        <x:v>Store</x:v>
      </x:c>
      <x:c r="E165" t="str">
        <x:v>Notebook Set</x:v>
      </x:c>
      <x:c r="F165" t="str">
        <x:v>Stationery</x:v>
      </x:c>
      <x:c r="G165" t="n">
        <x:v>7</x:v>
      </x:c>
      <x:c r="H165" s="30" t="n">
        <x:v>320</x:v>
      </x:c>
      <x:c r="I165" s="32" t="n">
        <x:v>0</x:v>
      </x:c>
      <x:c r="J165" s="30" t="n">
        <x:v>2240</x:v>
      </x:c>
      <x:c r="K165" s="30" t="n">
        <x:v>1190</x:v>
      </x:c>
      <x:c r="L165" s="30" t="n">
        <x:v>1050</x:v>
      </x:c>
    </x:row>
    <x:row r="166">
      <x:c r="A166" t="str">
        <x:v>TX-0165</x:v>
      </x:c>
      <x:c r="B166" s="28" t="n">
        <x:v>46105</x:v>
      </x:c>
      <x:c r="C166" t="str">
        <x:v>Dhaka</x:v>
      </x:c>
      <x:c r="D166" t="str">
        <x:v>Store</x:v>
      </x:c>
      <x:c r="E166" t="str">
        <x:v>T-Shirt</x:v>
      </x:c>
      <x:c r="F166" t="str">
        <x:v>Apparel</x:v>
      </x:c>
      <x:c r="G166" t="n">
        <x:v>1</x:v>
      </x:c>
      <x:c r="H166" s="30" t="n">
        <x:v>650</x:v>
      </x:c>
      <x:c r="I166" s="32" t="n">
        <x:v>0</x:v>
      </x:c>
      <x:c r="J166" s="30" t="n">
        <x:v>650</x:v>
      </x:c>
      <x:c r="K166" s="30" t="n">
        <x:v>360</x:v>
      </x:c>
      <x:c r="L166" s="30" t="n">
        <x:v>290</x:v>
      </x:c>
    </x:row>
    <x:row r="167">
      <x:c r="A167" t="str">
        <x:v>TX-0166</x:v>
      </x:c>
      <x:c r="B167" s="28" t="n">
        <x:v>46105</x:v>
      </x:c>
      <x:c r="C167" t="str">
        <x:v>Chattogram</x:v>
      </x:c>
      <x:c r="D167" t="str">
        <x:v>Online</x:v>
      </x:c>
      <x:c r="E167" t="str">
        <x:v>Formal Shirt</x:v>
      </x:c>
      <x:c r="F167" t="str">
        <x:v>Apparel</x:v>
      </x:c>
      <x:c r="G167" t="n">
        <x:v>8</x:v>
      </x:c>
      <x:c r="H167" s="30" t="n">
        <x:v>1450</x:v>
      </x:c>
      <x:c r="I167" s="32" t="n">
        <x:v>0</x:v>
      </x:c>
      <x:c r="J167" s="30" t="n">
        <x:v>11600</x:v>
      </x:c>
      <x:c r="K167" s="30" t="n">
        <x:v>7040</x:v>
      </x:c>
      <x:c r="L167" s="30" t="n">
        <x:v>4560</x:v>
      </x:c>
    </x:row>
    <x:row r="168">
      <x:c r="A168" t="str">
        <x:v>TX-0167</x:v>
      </x:c>
      <x:c r="B168" s="28" t="n">
        <x:v>46106</x:v>
      </x:c>
      <x:c r="C168" t="str">
        <x:v>Rajshahi</x:v>
      </x:c>
      <x:c r="D168" t="str">
        <x:v>Online</x:v>
      </x:c>
      <x:c r="E168" t="str">
        <x:v>Formal Shirt</x:v>
      </x:c>
      <x:c r="F168" t="str">
        <x:v>Apparel</x:v>
      </x:c>
      <x:c r="G168" t="n">
        <x:v>6</x:v>
      </x:c>
      <x:c r="H168" s="30" t="n">
        <x:v>1450</x:v>
      </x:c>
      <x:c r="I168" s="32" t="n">
        <x:v>0.1</x:v>
      </x:c>
      <x:c r="J168" s="30" t="n">
        <x:v>7830</x:v>
      </x:c>
      <x:c r="K168" s="30" t="n">
        <x:v>5280</x:v>
      </x:c>
      <x:c r="L168" s="30" t="n">
        <x:v>2550</x:v>
      </x:c>
    </x:row>
    <x:row r="169">
      <x:c r="A169" t="str">
        <x:v>TX-0168</x:v>
      </x:c>
      <x:c r="B169" s="28" t="n">
        <x:v>46106</x:v>
      </x:c>
      <x:c r="C169" t="str">
        <x:v>Khulna</x:v>
      </x:c>
      <x:c r="D169" t="str">
        <x:v>Online</x:v>
      </x:c>
      <x:c r="E169" t="str">
        <x:v>Formal Shirt</x:v>
      </x:c>
      <x:c r="F169" t="str">
        <x:v>Apparel</x:v>
      </x:c>
      <x:c r="G169" t="n">
        <x:v>5</x:v>
      </x:c>
      <x:c r="H169" s="30" t="n">
        <x:v>1450</x:v>
      </x:c>
      <x:c r="I169" s="32" t="n">
        <x:v>0.1</x:v>
      </x:c>
      <x:c r="J169" s="30" t="n">
        <x:v>6525</x:v>
      </x:c>
      <x:c r="K169" s="30" t="n">
        <x:v>4400</x:v>
      </x:c>
      <x:c r="L169" s="30" t="n">
        <x:v>2125</x:v>
      </x:c>
    </x:row>
    <x:row r="170">
      <x:c r="A170" t="str">
        <x:v>TX-0169</x:v>
      </x:c>
      <x:c r="B170" s="28" t="n">
        <x:v>46107</x:v>
      </x:c>
      <x:c r="C170" t="str">
        <x:v>Dhaka</x:v>
      </x:c>
      <x:c r="D170" t="str">
        <x:v>Partner</x:v>
      </x:c>
      <x:c r="E170" t="str">
        <x:v>Notebook Set</x:v>
      </x:c>
      <x:c r="F170" t="str">
        <x:v>Stationery</x:v>
      </x:c>
      <x:c r="G170" t="n">
        <x:v>5</x:v>
      </x:c>
      <x:c r="H170" s="30" t="n">
        <x:v>320</x:v>
      </x:c>
      <x:c r="I170" s="32" t="n">
        <x:v>0.15</x:v>
      </x:c>
      <x:c r="J170" s="30" t="n">
        <x:v>1360</x:v>
      </x:c>
      <x:c r="K170" s="30" t="n">
        <x:v>850</x:v>
      </x:c>
      <x:c r="L170" s="30" t="n">
        <x:v>510</x:v>
      </x:c>
    </x:row>
    <x:row r="171">
      <x:c r="A171" t="str">
        <x:v>TX-0170</x:v>
      </x:c>
      <x:c r="B171" s="28" t="n">
        <x:v>46107</x:v>
      </x:c>
      <x:c r="C171" t="str">
        <x:v>Chattogram</x:v>
      </x:c>
      <x:c r="D171" t="str">
        <x:v>Partner</x:v>
      </x:c>
      <x:c r="E171" t="str">
        <x:v>Polo Shirt</x:v>
      </x:c>
      <x:c r="F171" t="str">
        <x:v>Apparel</x:v>
      </x:c>
      <x:c r="G171" t="n">
        <x:v>8</x:v>
      </x:c>
      <x:c r="H171" s="30" t="n">
        <x:v>1200</x:v>
      </x:c>
      <x:c r="I171" s="32" t="n">
        <x:v>0.15</x:v>
      </x:c>
      <x:c r="J171" s="30" t="n">
        <x:v>8160</x:v>
      </x:c>
      <x:c r="K171" s="30" t="n">
        <x:v>5760</x:v>
      </x:c>
      <x:c r="L171" s="30" t="n">
        <x:v>2400</x:v>
      </x:c>
    </x:row>
    <x:row r="172">
      <x:c r="A172" t="str">
        <x:v>TX-0171</x:v>
      </x:c>
      <x:c r="B172" s="28" t="n">
        <x:v>46108</x:v>
      </x:c>
      <x:c r="C172" t="str">
        <x:v>Rajshahi</x:v>
      </x:c>
      <x:c r="D172" t="str">
        <x:v>Partner</x:v>
      </x:c>
      <x:c r="E172" t="str">
        <x:v>Formal Shirt</x:v>
      </x:c>
      <x:c r="F172" t="str">
        <x:v>Apparel</x:v>
      </x:c>
      <x:c r="G172" t="n">
        <x:v>7</x:v>
      </x:c>
      <x:c r="H172" s="30" t="n">
        <x:v>1450</x:v>
      </x:c>
      <x:c r="I172" s="32" t="n">
        <x:v>0.1</x:v>
      </x:c>
      <x:c r="J172" s="30" t="n">
        <x:v>9135</x:v>
      </x:c>
      <x:c r="K172" s="30" t="n">
        <x:v>6160</x:v>
      </x:c>
      <x:c r="L172" s="30" t="n">
        <x:v>2975</x:v>
      </x:c>
    </x:row>
    <x:row r="173">
      <x:c r="A173" t="str">
        <x:v>TX-0172</x:v>
      </x:c>
      <x:c r="B173" s="28" t="n">
        <x:v>46108</x:v>
      </x:c>
      <x:c r="C173" t="str">
        <x:v>Khulna</x:v>
      </x:c>
      <x:c r="D173" t="str">
        <x:v>Store</x:v>
      </x:c>
      <x:c r="E173" t="str">
        <x:v>Sneakers</x:v>
      </x:c>
      <x:c r="F173" t="str">
        <x:v>Footwear</x:v>
      </x:c>
      <x:c r="G173" t="n">
        <x:v>2</x:v>
      </x:c>
      <x:c r="H173" s="30" t="n">
        <x:v>2400</x:v>
      </x:c>
      <x:c r="I173" s="32" t="n">
        <x:v>0.05</x:v>
      </x:c>
      <x:c r="J173" s="30" t="n">
        <x:v>4560</x:v>
      </x:c>
      <x:c r="K173" s="30" t="n">
        <x:v>3100</x:v>
      </x:c>
      <x:c r="L173" s="30" t="n">
        <x:v>1460</x:v>
      </x:c>
    </x:row>
    <x:row r="174">
      <x:c r="A174" t="str">
        <x:v>TX-0173</x:v>
      </x:c>
      <x:c r="B174" s="28" t="n">
        <x:v>46109</x:v>
      </x:c>
      <x:c r="C174" t="str">
        <x:v>Dhaka</x:v>
      </x:c>
      <x:c r="D174" t="str">
        <x:v>Store</x:v>
      </x:c>
      <x:c r="E174" t="str">
        <x:v>Notebook Set</x:v>
      </x:c>
      <x:c r="F174" t="str">
        <x:v>Stationery</x:v>
      </x:c>
      <x:c r="G174" t="n">
        <x:v>8</x:v>
      </x:c>
      <x:c r="H174" s="30" t="n">
        <x:v>320</x:v>
      </x:c>
      <x:c r="I174" s="32" t="n">
        <x:v>0.15</x:v>
      </x:c>
      <x:c r="J174" s="30" t="n">
        <x:v>2176</x:v>
      </x:c>
      <x:c r="K174" s="30" t="n">
        <x:v>1360</x:v>
      </x:c>
      <x:c r="L174" s="30" t="n">
        <x:v>816</x:v>
      </x:c>
    </x:row>
    <x:row r="175">
      <x:c r="A175" t="str">
        <x:v>TX-0174</x:v>
      </x:c>
      <x:c r="B175" s="28" t="n">
        <x:v>46109</x:v>
      </x:c>
      <x:c r="C175" t="str">
        <x:v>Chattogram</x:v>
      </x:c>
      <x:c r="D175" t="str">
        <x:v>Store</x:v>
      </x:c>
      <x:c r="E175" t="str">
        <x:v>Sneakers</x:v>
      </x:c>
      <x:c r="F175" t="str">
        <x:v>Footwear</x:v>
      </x:c>
      <x:c r="G175" t="n">
        <x:v>8</x:v>
      </x:c>
      <x:c r="H175" s="30" t="n">
        <x:v>2400</x:v>
      </x:c>
      <x:c r="I175" s="32" t="n">
        <x:v>0.05</x:v>
      </x:c>
      <x:c r="J175" s="30" t="n">
        <x:v>18240</x:v>
      </x:c>
      <x:c r="K175" s="30" t="n">
        <x:v>12400</x:v>
      </x:c>
      <x:c r="L175" s="30" t="n">
        <x:v>5840</x:v>
      </x:c>
    </x:row>
    <x:row r="176">
      <x:c r="A176" t="str">
        <x:v>TX-0175</x:v>
      </x:c>
      <x:c r="B176" s="28" t="n">
        <x:v>46110</x:v>
      </x:c>
      <x:c r="C176" t="str">
        <x:v>Rajshahi</x:v>
      </x:c>
      <x:c r="D176" t="str">
        <x:v>Online</x:v>
      </x:c>
      <x:c r="E176" t="str">
        <x:v>Polo Shirt</x:v>
      </x:c>
      <x:c r="F176" t="str">
        <x:v>Apparel</x:v>
      </x:c>
      <x:c r="G176" t="n">
        <x:v>3</x:v>
      </x:c>
      <x:c r="H176" s="30" t="n">
        <x:v>1200</x:v>
      </x:c>
      <x:c r="I176" s="32" t="n">
        <x:v>0</x:v>
      </x:c>
      <x:c r="J176" s="30" t="n">
        <x:v>3600</x:v>
      </x:c>
      <x:c r="K176" s="30" t="n">
        <x:v>2160</x:v>
      </x:c>
      <x:c r="L176" s="30" t="n">
        <x:v>1440</x:v>
      </x:c>
    </x:row>
    <x:row r="177">
      <x:c r="A177" t="str">
        <x:v>TX-0176</x:v>
      </x:c>
      <x:c r="B177" s="28" t="n">
        <x:v>46110</x:v>
      </x:c>
      <x:c r="C177" t="str">
        <x:v>Khulna</x:v>
      </x:c>
      <x:c r="D177" t="str">
        <x:v>Online</x:v>
      </x:c>
      <x:c r="E177" t="str">
        <x:v>Formal Shirt</x:v>
      </x:c>
      <x:c r="F177" t="str">
        <x:v>Apparel</x:v>
      </x:c>
      <x:c r="G177" t="n">
        <x:v>5</x:v>
      </x:c>
      <x:c r="H177" s="30" t="n">
        <x:v>1450</x:v>
      </x:c>
      <x:c r="I177" s="32" t="n">
        <x:v>0.05</x:v>
      </x:c>
      <x:c r="J177" s="30" t="n">
        <x:v>6887.5</x:v>
      </x:c>
      <x:c r="K177" s="30" t="n">
        <x:v>4400</x:v>
      </x:c>
      <x:c r="L177" s="30" t="n">
        <x:v>2487.5</x:v>
      </x:c>
    </x:row>
    <x:row r="178">
      <x:c r="A178" t="str">
        <x:v>TX-0177</x:v>
      </x:c>
      <x:c r="B178" s="28" t="n">
        <x:v>46111</x:v>
      </x:c>
      <x:c r="C178" t="str">
        <x:v>Dhaka</x:v>
      </x:c>
      <x:c r="D178" t="str">
        <x:v>Online</x:v>
      </x:c>
      <x:c r="E178" t="str">
        <x:v>Notebook Set</x:v>
      </x:c>
      <x:c r="F178" t="str">
        <x:v>Stationery</x:v>
      </x:c>
      <x:c r="G178" t="n">
        <x:v>4</x:v>
      </x:c>
      <x:c r="H178" s="30" t="n">
        <x:v>320</x:v>
      </x:c>
      <x:c r="I178" s="32" t="n">
        <x:v>0</x:v>
      </x:c>
      <x:c r="J178" s="30" t="n">
        <x:v>1280</x:v>
      </x:c>
      <x:c r="K178" s="30" t="n">
        <x:v>680</x:v>
      </x:c>
      <x:c r="L178" s="30" t="n">
        <x:v>600</x:v>
      </x:c>
    </x:row>
    <x:row r="179">
      <x:c r="A179" t="str">
        <x:v>TX-0178</x:v>
      </x:c>
      <x:c r="B179" s="28" t="n">
        <x:v>46111</x:v>
      </x:c>
      <x:c r="C179" t="str">
        <x:v>Chattogram</x:v>
      </x:c>
      <x:c r="D179" t="str">
        <x:v>Partner</x:v>
      </x:c>
      <x:c r="E179" t="str">
        <x:v>Notebook Set</x:v>
      </x:c>
      <x:c r="F179" t="str">
        <x:v>Stationery</x:v>
      </x:c>
      <x:c r="G179" t="n">
        <x:v>1</x:v>
      </x:c>
      <x:c r="H179" s="30" t="n">
        <x:v>320</x:v>
      </x:c>
      <x:c r="I179" s="32" t="n">
        <x:v>0.1</x:v>
      </x:c>
      <x:c r="J179" s="30" t="n">
        <x:v>288</x:v>
      </x:c>
      <x:c r="K179" s="30" t="n">
        <x:v>170</x:v>
      </x:c>
      <x:c r="L179" s="30" t="n">
        <x:v>118</x:v>
      </x:c>
    </x:row>
    <x:row r="180">
      <x:c r="A180" t="str">
        <x:v>TX-0179</x:v>
      </x:c>
      <x:c r="B180" s="28" t="n">
        <x:v>46112</x:v>
      </x:c>
      <x:c r="C180" t="str">
        <x:v>Rajshahi</x:v>
      </x:c>
      <x:c r="D180" t="str">
        <x:v>Partner</x:v>
      </x:c>
      <x:c r="E180" t="str">
        <x:v>Formal Shirt</x:v>
      </x:c>
      <x:c r="F180" t="str">
        <x:v>Apparel</x:v>
      </x:c>
      <x:c r="G180" t="n">
        <x:v>7</x:v>
      </x:c>
      <x:c r="H180" s="30" t="n">
        <x:v>1450</x:v>
      </x:c>
      <x:c r="I180" s="32" t="n">
        <x:v>0</x:v>
      </x:c>
      <x:c r="J180" s="30" t="n">
        <x:v>10150</x:v>
      </x:c>
      <x:c r="K180" s="30" t="n">
        <x:v>6160</x:v>
      </x:c>
      <x:c r="L180" s="30" t="n">
        <x:v>3990</x:v>
      </x:c>
    </x:row>
    <x:row r="181">
      <x:c r="A181" t="str">
        <x:v>TX-0180</x:v>
      </x:c>
      <x:c r="B181" s="28" t="n">
        <x:v>46112</x:v>
      </x:c>
      <x:c r="C181" t="str">
        <x:v>Khulna</x:v>
      </x:c>
      <x:c r="D181" t="str">
        <x:v>Partner</x:v>
      </x:c>
      <x:c r="E181" t="str">
        <x:v>Sneakers</x:v>
      </x:c>
      <x:c r="F181" t="str">
        <x:v>Footwear</x:v>
      </x:c>
      <x:c r="G181" t="n">
        <x:v>6</x:v>
      </x:c>
      <x:c r="H181" s="30" t="n">
        <x:v>2400</x:v>
      </x:c>
      <x:c r="I181" s="32" t="n">
        <x:v>0.15</x:v>
      </x:c>
      <x:c r="J181" s="30" t="n">
        <x:v>12240</x:v>
      </x:c>
      <x:c r="K181" s="30" t="n">
        <x:v>9300</x:v>
      </x:c>
      <x:c r="L181" s="30" t="n">
        <x:v>2940</x:v>
      </x:c>
    </x:row>
    <x:row r="182">
      <x:c r="A182" t="str">
        <x:v>TX-0181</x:v>
      </x:c>
      <x:c r="B182" s="28" t="n">
        <x:v>46113</x:v>
      </x:c>
      <x:c r="C182" t="str">
        <x:v>Dhaka</x:v>
      </x:c>
      <x:c r="D182" t="str">
        <x:v>Store</x:v>
      </x:c>
      <x:c r="E182" t="str">
        <x:v>Polo Shirt</x:v>
      </x:c>
      <x:c r="F182" t="str">
        <x:v>Apparel</x:v>
      </x:c>
      <x:c r="G182" t="n">
        <x:v>7</x:v>
      </x:c>
      <x:c r="H182" s="30" t="n">
        <x:v>1200</x:v>
      </x:c>
      <x:c r="I182" s="32" t="n">
        <x:v>0</x:v>
      </x:c>
      <x:c r="J182" s="30" t="n">
        <x:v>8400</x:v>
      </x:c>
      <x:c r="K182" s="30" t="n">
        <x:v>5040</x:v>
      </x:c>
      <x:c r="L182" s="30" t="n">
        <x:v>3360</x:v>
      </x:c>
    </x:row>
    <x:row r="183">
      <x:c r="A183" t="str">
        <x:v>TX-0182</x:v>
      </x:c>
      <x:c r="B183" s="28" t="n">
        <x:v>46113</x:v>
      </x:c>
      <x:c r="C183" t="str">
        <x:v>Chattogram</x:v>
      </x:c>
      <x:c r="D183" t="str">
        <x:v>Store</x:v>
      </x:c>
      <x:c r="E183" t="str">
        <x:v>Backpack</x:v>
      </x:c>
      <x:c r="F183" t="str">
        <x:v>Accessories</x:v>
      </x:c>
      <x:c r="G183" t="n">
        <x:v>5</x:v>
      </x:c>
      <x:c r="H183" s="30" t="n">
        <x:v>1800</x:v>
      </x:c>
      <x:c r="I183" s="32" t="n">
        <x:v>0</x:v>
      </x:c>
      <x:c r="J183" s="30" t="n">
        <x:v>9000</x:v>
      </x:c>
      <x:c r="K183" s="30" t="n">
        <x:v>5600</x:v>
      </x:c>
      <x:c r="L183" s="30" t="n">
        <x:v>3400</x:v>
      </x:c>
    </x:row>
    <x:row r="184">
      <x:c r="A184" t="str">
        <x:v>TX-0183</x:v>
      </x:c>
      <x:c r="B184" s="28" t="n">
        <x:v>46114</x:v>
      </x:c>
      <x:c r="C184" t="str">
        <x:v>Rajshahi</x:v>
      </x:c>
      <x:c r="D184" t="str">
        <x:v>Store</x:v>
      </x:c>
      <x:c r="E184" t="str">
        <x:v>Formal Shirt</x:v>
      </x:c>
      <x:c r="F184" t="str">
        <x:v>Apparel</x:v>
      </x:c>
      <x:c r="G184" t="n">
        <x:v>5</x:v>
      </x:c>
      <x:c r="H184" s="30" t="n">
        <x:v>1450</x:v>
      </x:c>
      <x:c r="I184" s="32" t="n">
        <x:v>0.1</x:v>
      </x:c>
      <x:c r="J184" s="30" t="n">
        <x:v>6525</x:v>
      </x:c>
      <x:c r="K184" s="30" t="n">
        <x:v>4400</x:v>
      </x:c>
      <x:c r="L184" s="30" t="n">
        <x:v>2125</x:v>
      </x:c>
    </x:row>
    <x:row r="185">
      <x:c r="A185" t="str">
        <x:v>TX-0184</x:v>
      </x:c>
      <x:c r="B185" s="28" t="n">
        <x:v>46114</x:v>
      </x:c>
      <x:c r="C185" t="str">
        <x:v>Khulna</x:v>
      </x:c>
      <x:c r="D185" t="str">
        <x:v>Online</x:v>
      </x:c>
      <x:c r="E185" t="str">
        <x:v>T-Shirt</x:v>
      </x:c>
      <x:c r="F185" t="str">
        <x:v>Apparel</x:v>
      </x:c>
      <x:c r="G185" t="n">
        <x:v>2</x:v>
      </x:c>
      <x:c r="H185" s="30" t="n">
        <x:v>650</x:v>
      </x:c>
      <x:c r="I185" s="32" t="n">
        <x:v>0</x:v>
      </x:c>
      <x:c r="J185" s="30" t="n">
        <x:v>1300</x:v>
      </x:c>
      <x:c r="K185" s="30" t="n">
        <x:v>720</x:v>
      </x:c>
      <x:c r="L185" s="30" t="n">
        <x:v>580</x:v>
      </x:c>
    </x:row>
    <x:row r="186">
      <x:c r="A186" t="str">
        <x:v>TX-0185</x:v>
      </x:c>
      <x:c r="B186" s="28" t="n">
        <x:v>46115</x:v>
      </x:c>
      <x:c r="C186" t="str">
        <x:v>Dhaka</x:v>
      </x:c>
      <x:c r="D186" t="str">
        <x:v>Online</x:v>
      </x:c>
      <x:c r="E186" t="str">
        <x:v>T-Shirt</x:v>
      </x:c>
      <x:c r="F186" t="str">
        <x:v>Apparel</x:v>
      </x:c>
      <x:c r="G186" t="n">
        <x:v>3</x:v>
      </x:c>
      <x:c r="H186" s="30" t="n">
        <x:v>650</x:v>
      </x:c>
      <x:c r="I186" s="32" t="n">
        <x:v>0</x:v>
      </x:c>
      <x:c r="J186" s="30" t="n">
        <x:v>1950</x:v>
      </x:c>
      <x:c r="K186" s="30" t="n">
        <x:v>1080</x:v>
      </x:c>
      <x:c r="L186" s="30" t="n">
        <x:v>870</x:v>
      </x:c>
    </x:row>
    <x:row r="187">
      <x:c r="A187" t="str">
        <x:v>TX-0186</x:v>
      </x:c>
      <x:c r="B187" s="28" t="n">
        <x:v>46115</x:v>
      </x:c>
      <x:c r="C187" t="str">
        <x:v>Chattogram</x:v>
      </x:c>
      <x:c r="D187" t="str">
        <x:v>Online</x:v>
      </x:c>
      <x:c r="E187" t="str">
        <x:v>Notebook Set</x:v>
      </x:c>
      <x:c r="F187" t="str">
        <x:v>Stationery</x:v>
      </x:c>
      <x:c r="G187" t="n">
        <x:v>3</x:v>
      </x:c>
      <x:c r="H187" s="30" t="n">
        <x:v>320</x:v>
      </x:c>
      <x:c r="I187" s="32" t="n">
        <x:v>0</x:v>
      </x:c>
      <x:c r="J187" s="30" t="n">
        <x:v>960</x:v>
      </x:c>
      <x:c r="K187" s="30" t="n">
        <x:v>510</x:v>
      </x:c>
      <x:c r="L187" s="30" t="n">
        <x:v>450</x:v>
      </x:c>
    </x:row>
    <x:row r="188">
      <x:c r="A188" t="str">
        <x:v>TX-0187</x:v>
      </x:c>
      <x:c r="B188" s="28" t="n">
        <x:v>46116</x:v>
      </x:c>
      <x:c r="C188" t="str">
        <x:v>Rajshahi</x:v>
      </x:c>
      <x:c r="D188" t="str">
        <x:v>Partner</x:v>
      </x:c>
      <x:c r="E188" t="str">
        <x:v>Polo Shirt</x:v>
      </x:c>
      <x:c r="F188" t="str">
        <x:v>Apparel</x:v>
      </x:c>
      <x:c r="G188" t="n">
        <x:v>1</x:v>
      </x:c>
      <x:c r="H188" s="30" t="n">
        <x:v>1200</x:v>
      </x:c>
      <x:c r="I188" s="32" t="n">
        <x:v>0</x:v>
      </x:c>
      <x:c r="J188" s="30" t="n">
        <x:v>1200</x:v>
      </x:c>
      <x:c r="K188" s="30" t="n">
        <x:v>720</x:v>
      </x:c>
      <x:c r="L188" s="30" t="n">
        <x:v>480</x:v>
      </x:c>
    </x:row>
    <x:row r="189">
      <x:c r="A189" t="str">
        <x:v>TX-0188</x:v>
      </x:c>
      <x:c r="B189" s="28" t="n">
        <x:v>46116</x:v>
      </x:c>
      <x:c r="C189" t="str">
        <x:v>Khulna</x:v>
      </x:c>
      <x:c r="D189" t="str">
        <x:v>Partner</x:v>
      </x:c>
      <x:c r="E189" t="str">
        <x:v>Formal Shirt</x:v>
      </x:c>
      <x:c r="F189" t="str">
        <x:v>Apparel</x:v>
      </x:c>
      <x:c r="G189" t="n">
        <x:v>8</x:v>
      </x:c>
      <x:c r="H189" s="30" t="n">
        <x:v>1450</x:v>
      </x:c>
      <x:c r="I189" s="32" t="n">
        <x:v>0.15</x:v>
      </x:c>
      <x:c r="J189" s="30" t="n">
        <x:v>9860</x:v>
      </x:c>
      <x:c r="K189" s="30" t="n">
        <x:v>7040</x:v>
      </x:c>
      <x:c r="L189" s="30" t="n">
        <x:v>2820</x:v>
      </x:c>
    </x:row>
    <x:row r="190">
      <x:c r="A190" t="str">
        <x:v>TX-0189</x:v>
      </x:c>
      <x:c r="B190" s="28" t="n">
        <x:v>46117</x:v>
      </x:c>
      <x:c r="C190" t="str">
        <x:v>Dhaka</x:v>
      </x:c>
      <x:c r="D190" t="str">
        <x:v>Partner</x:v>
      </x:c>
      <x:c r="E190" t="str">
        <x:v>Polo Shirt</x:v>
      </x:c>
      <x:c r="F190" t="str">
        <x:v>Apparel</x:v>
      </x:c>
      <x:c r="G190" t="n">
        <x:v>6</x:v>
      </x:c>
      <x:c r="H190" s="30" t="n">
        <x:v>1200</x:v>
      </x:c>
      <x:c r="I190" s="32" t="n">
        <x:v>0.1</x:v>
      </x:c>
      <x:c r="J190" s="30" t="n">
        <x:v>6480</x:v>
      </x:c>
      <x:c r="K190" s="30" t="n">
        <x:v>4320</x:v>
      </x:c>
      <x:c r="L190" s="30" t="n">
        <x:v>2160</x:v>
      </x:c>
    </x:row>
    <x:row r="191">
      <x:c r="A191" t="str">
        <x:v>TX-0190</x:v>
      </x:c>
      <x:c r="B191" s="28" t="n">
        <x:v>46117</x:v>
      </x:c>
      <x:c r="C191" t="str">
        <x:v>Chattogram</x:v>
      </x:c>
      <x:c r="D191" t="str">
        <x:v>Store</x:v>
      </x:c>
      <x:c r="E191" t="str">
        <x:v>Backpack</x:v>
      </x:c>
      <x:c r="F191" t="str">
        <x:v>Accessories</x:v>
      </x:c>
      <x:c r="G191" t="n">
        <x:v>4</x:v>
      </x:c>
      <x:c r="H191" s="30" t="n">
        <x:v>1800</x:v>
      </x:c>
      <x:c r="I191" s="32" t="n">
        <x:v>0.15</x:v>
      </x:c>
      <x:c r="J191" s="30" t="n">
        <x:v>6120</x:v>
      </x:c>
      <x:c r="K191" s="30" t="n">
        <x:v>4480</x:v>
      </x:c>
      <x:c r="L191" s="30" t="n">
        <x:v>1640</x:v>
      </x:c>
    </x:row>
    <x:row r="192">
      <x:c r="A192" t="str">
        <x:v>TX-0191</x:v>
      </x:c>
      <x:c r="B192" s="28" t="n">
        <x:v>46118</x:v>
      </x:c>
      <x:c r="C192" t="str">
        <x:v>Rajshahi</x:v>
      </x:c>
      <x:c r="D192" t="str">
        <x:v>Store</x:v>
      </x:c>
      <x:c r="E192" t="str">
        <x:v>Notebook Set</x:v>
      </x:c>
      <x:c r="F192" t="str">
        <x:v>Stationery</x:v>
      </x:c>
      <x:c r="G192" t="n">
        <x:v>3</x:v>
      </x:c>
      <x:c r="H192" s="30" t="n">
        <x:v>320</x:v>
      </x:c>
      <x:c r="I192" s="32" t="n">
        <x:v>0.15</x:v>
      </x:c>
      <x:c r="J192" s="30" t="n">
        <x:v>816</x:v>
      </x:c>
      <x:c r="K192" s="30" t="n">
        <x:v>510</x:v>
      </x:c>
      <x:c r="L192" s="30" t="n">
        <x:v>306</x:v>
      </x:c>
    </x:row>
    <x:row r="193">
      <x:c r="A193" t="str">
        <x:v>TX-0192</x:v>
      </x:c>
      <x:c r="B193" s="28" t="n">
        <x:v>46118</x:v>
      </x:c>
      <x:c r="C193" t="str">
        <x:v>Khulna</x:v>
      </x:c>
      <x:c r="D193" t="str">
        <x:v>Store</x:v>
      </x:c>
      <x:c r="E193" t="str">
        <x:v>T-Shirt</x:v>
      </x:c>
      <x:c r="F193" t="str">
        <x:v>Apparel</x:v>
      </x:c>
      <x:c r="G193" t="n">
        <x:v>5</x:v>
      </x:c>
      <x:c r="H193" s="30" t="n">
        <x:v>650</x:v>
      </x:c>
      <x:c r="I193" s="32" t="n">
        <x:v>0.15</x:v>
      </x:c>
      <x:c r="J193" s="30" t="n">
        <x:v>2762.5</x:v>
      </x:c>
      <x:c r="K193" s="30" t="n">
        <x:v>1800</x:v>
      </x:c>
      <x:c r="L193" s="30" t="n">
        <x:v>962.5</x:v>
      </x:c>
    </x:row>
    <x:row r="194">
      <x:c r="A194" t="str">
        <x:v>TX-0193</x:v>
      </x:c>
      <x:c r="B194" s="28" t="n">
        <x:v>46119</x:v>
      </x:c>
      <x:c r="C194" t="str">
        <x:v>Dhaka</x:v>
      </x:c>
      <x:c r="D194" t="str">
        <x:v>Online</x:v>
      </x:c>
      <x:c r="E194" t="str">
        <x:v>Sneakers</x:v>
      </x:c>
      <x:c r="F194" t="str">
        <x:v>Footwear</x:v>
      </x:c>
      <x:c r="G194" t="n">
        <x:v>4</x:v>
      </x:c>
      <x:c r="H194" s="30" t="n">
        <x:v>2400</x:v>
      </x:c>
      <x:c r="I194" s="32" t="n">
        <x:v>0.05</x:v>
      </x:c>
      <x:c r="J194" s="30" t="n">
        <x:v>9120</x:v>
      </x:c>
      <x:c r="K194" s="30" t="n">
        <x:v>6200</x:v>
      </x:c>
      <x:c r="L194" s="30" t="n">
        <x:v>2920</x:v>
      </x:c>
    </x:row>
    <x:row r="195">
      <x:c r="A195" t="str">
        <x:v>TX-0194</x:v>
      </x:c>
      <x:c r="B195" s="28" t="n">
        <x:v>46119</x:v>
      </x:c>
      <x:c r="C195" t="str">
        <x:v>Chattogram</x:v>
      </x:c>
      <x:c r="D195" t="str">
        <x:v>Online</x:v>
      </x:c>
      <x:c r="E195" t="str">
        <x:v>T-Shirt</x:v>
      </x:c>
      <x:c r="F195" t="str">
        <x:v>Apparel</x:v>
      </x:c>
      <x:c r="G195" t="n">
        <x:v>3</x:v>
      </x:c>
      <x:c r="H195" s="30" t="n">
        <x:v>650</x:v>
      </x:c>
      <x:c r="I195" s="32" t="n">
        <x:v>0</x:v>
      </x:c>
      <x:c r="J195" s="30" t="n">
        <x:v>1950</x:v>
      </x:c>
      <x:c r="K195" s="30" t="n">
        <x:v>1080</x:v>
      </x:c>
      <x:c r="L195" s="30" t="n">
        <x:v>870</x:v>
      </x:c>
    </x:row>
    <x:row r="196">
      <x:c r="A196" t="str">
        <x:v>TX-0195</x:v>
      </x:c>
      <x:c r="B196" s="28" t="n">
        <x:v>46120</x:v>
      </x:c>
      <x:c r="C196" t="str">
        <x:v>Rajshahi</x:v>
      </x:c>
      <x:c r="D196" t="str">
        <x:v>Online</x:v>
      </x:c>
      <x:c r="E196" t="str">
        <x:v>Polo Shirt</x:v>
      </x:c>
      <x:c r="F196" t="str">
        <x:v>Apparel</x:v>
      </x:c>
      <x:c r="G196" t="n">
        <x:v>8</x:v>
      </x:c>
      <x:c r="H196" s="30" t="n">
        <x:v>1200</x:v>
      </x:c>
      <x:c r="I196" s="32" t="n">
        <x:v>0</x:v>
      </x:c>
      <x:c r="J196" s="30" t="n">
        <x:v>9600</x:v>
      </x:c>
      <x:c r="K196" s="30" t="n">
        <x:v>5760</x:v>
      </x:c>
      <x:c r="L196" s="30" t="n">
        <x:v>3840</x:v>
      </x:c>
    </x:row>
    <x:row r="197">
      <x:c r="A197" t="str">
        <x:v>TX-0196</x:v>
      </x:c>
      <x:c r="B197" s="28" t="n">
        <x:v>46120</x:v>
      </x:c>
      <x:c r="C197" t="str">
        <x:v>Khulna</x:v>
      </x:c>
      <x:c r="D197" t="str">
        <x:v>Partner</x:v>
      </x:c>
      <x:c r="E197" t="str">
        <x:v>Formal Shirt</x:v>
      </x:c>
      <x:c r="F197" t="str">
        <x:v>Apparel</x:v>
      </x:c>
      <x:c r="G197" t="n">
        <x:v>8</x:v>
      </x:c>
      <x:c r="H197" s="30" t="n">
        <x:v>1450</x:v>
      </x:c>
      <x:c r="I197" s="32" t="n">
        <x:v>0.15</x:v>
      </x:c>
      <x:c r="J197" s="30" t="n">
        <x:v>9860</x:v>
      </x:c>
      <x:c r="K197" s="30" t="n">
        <x:v>7040</x:v>
      </x:c>
      <x:c r="L197" s="30" t="n">
        <x:v>2820</x:v>
      </x:c>
    </x:row>
    <x:row r="198">
      <x:c r="A198" t="str">
        <x:v>TX-0197</x:v>
      </x:c>
      <x:c r="B198" s="28" t="n">
        <x:v>46121</x:v>
      </x:c>
      <x:c r="C198" t="str">
        <x:v>Dhaka</x:v>
      </x:c>
      <x:c r="D198" t="str">
        <x:v>Partner</x:v>
      </x:c>
      <x:c r="E198" t="str">
        <x:v>Notebook Set</x:v>
      </x:c>
      <x:c r="F198" t="str">
        <x:v>Stationery</x:v>
      </x:c>
      <x:c r="G198" t="n">
        <x:v>7</x:v>
      </x:c>
      <x:c r="H198" s="30" t="n">
        <x:v>320</x:v>
      </x:c>
      <x:c r="I198" s="32" t="n">
        <x:v>0.15</x:v>
      </x:c>
      <x:c r="J198" s="30" t="n">
        <x:v>1904</x:v>
      </x:c>
      <x:c r="K198" s="30" t="n">
        <x:v>1190</x:v>
      </x:c>
      <x:c r="L198" s="30" t="n">
        <x:v>714</x:v>
      </x:c>
    </x:row>
    <x:row r="199">
      <x:c r="A199" t="str">
        <x:v>TX-0198</x:v>
      </x:c>
      <x:c r="B199" s="28" t="n">
        <x:v>46121</x:v>
      </x:c>
      <x:c r="C199" t="str">
        <x:v>Chattogram</x:v>
      </x:c>
      <x:c r="D199" t="str">
        <x:v>Partner</x:v>
      </x:c>
      <x:c r="E199" t="str">
        <x:v>Sneakers</x:v>
      </x:c>
      <x:c r="F199" t="str">
        <x:v>Footwear</x:v>
      </x:c>
      <x:c r="G199" t="n">
        <x:v>6</x:v>
      </x:c>
      <x:c r="H199" s="30" t="n">
        <x:v>2400</x:v>
      </x:c>
      <x:c r="I199" s="32" t="n">
        <x:v>0</x:v>
      </x:c>
      <x:c r="J199" s="30" t="n">
        <x:v>14400</x:v>
      </x:c>
      <x:c r="K199" s="30" t="n">
        <x:v>9300</x:v>
      </x:c>
      <x:c r="L199" s="30" t="n">
        <x:v>5100</x:v>
      </x:c>
    </x:row>
    <x:row r="200">
      <x:c r="A200" t="str">
        <x:v>TX-0199</x:v>
      </x:c>
      <x:c r="B200" s="28" t="n">
        <x:v>46122</x:v>
      </x:c>
      <x:c r="C200" t="str">
        <x:v>Rajshahi</x:v>
      </x:c>
      <x:c r="D200" t="str">
        <x:v>Store</x:v>
      </x:c>
      <x:c r="E200" t="str">
        <x:v>T-Shirt</x:v>
      </x:c>
      <x:c r="F200" t="str">
        <x:v>Apparel</x:v>
      </x:c>
      <x:c r="G200" t="n">
        <x:v>4</x:v>
      </x:c>
      <x:c r="H200" s="30" t="n">
        <x:v>650</x:v>
      </x:c>
      <x:c r="I200" s="32" t="n">
        <x:v>0.15</x:v>
      </x:c>
      <x:c r="J200" s="30" t="n">
        <x:v>2210</x:v>
      </x:c>
      <x:c r="K200" s="30" t="n">
        <x:v>1440</x:v>
      </x:c>
      <x:c r="L200" s="30" t="n">
        <x:v>770</x:v>
      </x:c>
    </x:row>
    <x:row r="201">
      <x:c r="A201" t="str">
        <x:v>TX-0200</x:v>
      </x:c>
      <x:c r="B201" s="28" t="n">
        <x:v>46122</x:v>
      </x:c>
      <x:c r="C201" t="str">
        <x:v>Khulna</x:v>
      </x:c>
      <x:c r="D201" t="str">
        <x:v>Store</x:v>
      </x:c>
      <x:c r="E201" t="str">
        <x:v>Sneakers</x:v>
      </x:c>
      <x:c r="F201" t="str">
        <x:v>Footwear</x:v>
      </x:c>
      <x:c r="G201" t="n">
        <x:v>4</x:v>
      </x:c>
      <x:c r="H201" s="30" t="n">
        <x:v>2400</x:v>
      </x:c>
      <x:c r="I201" s="32" t="n">
        <x:v>0.15</x:v>
      </x:c>
      <x:c r="J201" s="30" t="n">
        <x:v>8160</x:v>
      </x:c>
      <x:c r="K201" s="30" t="n">
        <x:v>6200</x:v>
      </x:c>
      <x:c r="L201" s="30" t="n">
        <x:v>1960</x:v>
      </x:c>
    </x:row>
    <x:row r="202">
      <x:c r="A202" t="str">
        <x:v>TX-0201</x:v>
      </x:c>
      <x:c r="B202" s="28" t="n">
        <x:v>46123</x:v>
      </x:c>
      <x:c r="C202" t="str">
        <x:v>Dhaka</x:v>
      </x:c>
      <x:c r="D202" t="str">
        <x:v>Store</x:v>
      </x:c>
      <x:c r="E202" t="str">
        <x:v>Backpack</x:v>
      </x:c>
      <x:c r="F202" t="str">
        <x:v>Accessories</x:v>
      </x:c>
      <x:c r="G202" t="n">
        <x:v>3</x:v>
      </x:c>
      <x:c r="H202" s="30" t="n">
        <x:v>1800</x:v>
      </x:c>
      <x:c r="I202" s="32" t="n">
        <x:v>0.1</x:v>
      </x:c>
      <x:c r="J202" s="30" t="n">
        <x:v>4860</x:v>
      </x:c>
      <x:c r="K202" s="30" t="n">
        <x:v>3360</x:v>
      </x:c>
      <x:c r="L202" s="30" t="n">
        <x:v>1500</x:v>
      </x:c>
    </x:row>
    <x:row r="203">
      <x:c r="A203" t="str">
        <x:v>TX-0202</x:v>
      </x:c>
      <x:c r="B203" s="28" t="n">
        <x:v>46123</x:v>
      </x:c>
      <x:c r="C203" t="str">
        <x:v>Chattogram</x:v>
      </x:c>
      <x:c r="D203" t="str">
        <x:v>Online</x:v>
      </x:c>
      <x:c r="E203" t="str">
        <x:v>Polo Shirt</x:v>
      </x:c>
      <x:c r="F203" t="str">
        <x:v>Apparel</x:v>
      </x:c>
      <x:c r="G203" t="n">
        <x:v>2</x:v>
      </x:c>
      <x:c r="H203" s="30" t="n">
        <x:v>1200</x:v>
      </x:c>
      <x:c r="I203" s="32" t="n">
        <x:v>0.1</x:v>
      </x:c>
      <x:c r="J203" s="30" t="n">
        <x:v>2160</x:v>
      </x:c>
      <x:c r="K203" s="30" t="n">
        <x:v>1440</x:v>
      </x:c>
      <x:c r="L203" s="30" t="n">
        <x:v>720</x:v>
      </x:c>
    </x:row>
    <x:row r="204">
      <x:c r="A204" t="str">
        <x:v>TX-0203</x:v>
      </x:c>
      <x:c r="B204" s="28" t="n">
        <x:v>46124</x:v>
      </x:c>
      <x:c r="C204" t="str">
        <x:v>Rajshahi</x:v>
      </x:c>
      <x:c r="D204" t="str">
        <x:v>Online</x:v>
      </x:c>
      <x:c r="E204" t="str">
        <x:v>Backpack</x:v>
      </x:c>
      <x:c r="F204" t="str">
        <x:v>Accessories</x:v>
      </x:c>
      <x:c r="G204" t="n">
        <x:v>8</x:v>
      </x:c>
      <x:c r="H204" s="30" t="n">
        <x:v>1800</x:v>
      </x:c>
      <x:c r="I204" s="32" t="n">
        <x:v>0.15</x:v>
      </x:c>
      <x:c r="J204" s="30" t="n">
        <x:v>12240</x:v>
      </x:c>
      <x:c r="K204" s="30" t="n">
        <x:v>8960</x:v>
      </x:c>
      <x:c r="L204" s="30" t="n">
        <x:v>3280</x:v>
      </x:c>
    </x:row>
    <x:row r="205">
      <x:c r="A205" t="str">
        <x:v>TX-0204</x:v>
      </x:c>
      <x:c r="B205" s="28" t="n">
        <x:v>46124</x:v>
      </x:c>
      <x:c r="C205" t="str">
        <x:v>Khulna</x:v>
      </x:c>
      <x:c r="D205" t="str">
        <x:v>Online</x:v>
      </x:c>
      <x:c r="E205" t="str">
        <x:v>T-Shirt</x:v>
      </x:c>
      <x:c r="F205" t="str">
        <x:v>Apparel</x:v>
      </x:c>
      <x:c r="G205" t="n">
        <x:v>6</x:v>
      </x:c>
      <x:c r="H205" s="30" t="n">
        <x:v>650</x:v>
      </x:c>
      <x:c r="I205" s="32" t="n">
        <x:v>0</x:v>
      </x:c>
      <x:c r="J205" s="30" t="n">
        <x:v>3900</x:v>
      </x:c>
      <x:c r="K205" s="30" t="n">
        <x:v>2160</x:v>
      </x:c>
      <x:c r="L205" s="30" t="n">
        <x:v>1740</x:v>
      </x:c>
    </x:row>
    <x:row r="206">
      <x:c r="A206" t="str">
        <x:v>TX-0205</x:v>
      </x:c>
      <x:c r="B206" s="28" t="n">
        <x:v>46125</x:v>
      </x:c>
      <x:c r="C206" t="str">
        <x:v>Dhaka</x:v>
      </x:c>
      <x:c r="D206" t="str">
        <x:v>Partner</x:v>
      </x:c>
      <x:c r="E206" t="str">
        <x:v>Sneakers</x:v>
      </x:c>
      <x:c r="F206" t="str">
        <x:v>Footwear</x:v>
      </x:c>
      <x:c r="G206" t="n">
        <x:v>5</x:v>
      </x:c>
      <x:c r="H206" s="30" t="n">
        <x:v>2400</x:v>
      </x:c>
      <x:c r="I206" s="32" t="n">
        <x:v>0.05</x:v>
      </x:c>
      <x:c r="J206" s="30" t="n">
        <x:v>11400</x:v>
      </x:c>
      <x:c r="K206" s="30" t="n">
        <x:v>7750</x:v>
      </x:c>
      <x:c r="L206" s="30" t="n">
        <x:v>3650</x:v>
      </x:c>
    </x:row>
    <x:row r="207">
      <x:c r="A207" t="str">
        <x:v>TX-0206</x:v>
      </x:c>
      <x:c r="B207" s="28" t="n">
        <x:v>46125</x:v>
      </x:c>
      <x:c r="C207" t="str">
        <x:v>Chattogram</x:v>
      </x:c>
      <x:c r="D207" t="str">
        <x:v>Partner</x:v>
      </x:c>
      <x:c r="E207" t="str">
        <x:v>Sneakers</x:v>
      </x:c>
      <x:c r="F207" t="str">
        <x:v>Footwear</x:v>
      </x:c>
      <x:c r="G207" t="n">
        <x:v>4</x:v>
      </x:c>
      <x:c r="H207" s="30" t="n">
        <x:v>2400</x:v>
      </x:c>
      <x:c r="I207" s="32" t="n">
        <x:v>0.05</x:v>
      </x:c>
      <x:c r="J207" s="30" t="n">
        <x:v>9120</x:v>
      </x:c>
      <x:c r="K207" s="30" t="n">
        <x:v>6200</x:v>
      </x:c>
      <x:c r="L207" s="30" t="n">
        <x:v>2920</x:v>
      </x:c>
    </x:row>
    <x:row r="208">
      <x:c r="A208" t="str">
        <x:v>TX-0207</x:v>
      </x:c>
      <x:c r="B208" s="28" t="n">
        <x:v>46126</x:v>
      </x:c>
      <x:c r="C208" t="str">
        <x:v>Rajshahi</x:v>
      </x:c>
      <x:c r="D208" t="str">
        <x:v>Partner</x:v>
      </x:c>
      <x:c r="E208" t="str">
        <x:v>T-Shirt</x:v>
      </x:c>
      <x:c r="F208" t="str">
        <x:v>Apparel</x:v>
      </x:c>
      <x:c r="G208" t="n">
        <x:v>4</x:v>
      </x:c>
      <x:c r="H208" s="30" t="n">
        <x:v>650</x:v>
      </x:c>
      <x:c r="I208" s="32" t="n">
        <x:v>0</x:v>
      </x:c>
      <x:c r="J208" s="30" t="n">
        <x:v>2600</x:v>
      </x:c>
      <x:c r="K208" s="30" t="n">
        <x:v>1440</x:v>
      </x:c>
      <x:c r="L208" s="30" t="n">
        <x:v>1160</x:v>
      </x:c>
    </x:row>
    <x:row r="209">
      <x:c r="A209" t="str">
        <x:v>TX-0208</x:v>
      </x:c>
      <x:c r="B209" s="28" t="n">
        <x:v>46126</x:v>
      </x:c>
      <x:c r="C209" t="str">
        <x:v>Khulna</x:v>
      </x:c>
      <x:c r="D209" t="str">
        <x:v>Store</x:v>
      </x:c>
      <x:c r="E209" t="str">
        <x:v>Notebook Set</x:v>
      </x:c>
      <x:c r="F209" t="str">
        <x:v>Stationery</x:v>
      </x:c>
      <x:c r="G209" t="n">
        <x:v>2</x:v>
      </x:c>
      <x:c r="H209" s="30" t="n">
        <x:v>320</x:v>
      </x:c>
      <x:c r="I209" s="32" t="n">
        <x:v>0</x:v>
      </x:c>
      <x:c r="J209" s="30" t="n">
        <x:v>640</x:v>
      </x:c>
      <x:c r="K209" s="30" t="n">
        <x:v>340</x:v>
      </x:c>
      <x:c r="L209" s="30" t="n">
        <x:v>300</x:v>
      </x:c>
    </x:row>
    <x:row r="210">
      <x:c r="A210" t="str">
        <x:v>TX-0209</x:v>
      </x:c>
      <x:c r="B210" s="28" t="n">
        <x:v>46127</x:v>
      </x:c>
      <x:c r="C210" t="str">
        <x:v>Dhaka</x:v>
      </x:c>
      <x:c r="D210" t="str">
        <x:v>Store</x:v>
      </x:c>
      <x:c r="E210" t="str">
        <x:v>Sneakers</x:v>
      </x:c>
      <x:c r="F210" t="str">
        <x:v>Footwear</x:v>
      </x:c>
      <x:c r="G210" t="n">
        <x:v>2</x:v>
      </x:c>
      <x:c r="H210" s="30" t="n">
        <x:v>2400</x:v>
      </x:c>
      <x:c r="I210" s="32" t="n">
        <x:v>0.1</x:v>
      </x:c>
      <x:c r="J210" s="30" t="n">
        <x:v>4320</x:v>
      </x:c>
      <x:c r="K210" s="30" t="n">
        <x:v>3100</x:v>
      </x:c>
      <x:c r="L210" s="30" t="n">
        <x:v>1220</x:v>
      </x:c>
    </x:row>
    <x:row r="211">
      <x:c r="A211" t="str">
        <x:v>TX-0210</x:v>
      </x:c>
      <x:c r="B211" s="28" t="n">
        <x:v>46127</x:v>
      </x:c>
      <x:c r="C211" t="str">
        <x:v>Chattogram</x:v>
      </x:c>
      <x:c r="D211" t="str">
        <x:v>Store</x:v>
      </x:c>
      <x:c r="E211" t="str">
        <x:v>Notebook Set</x:v>
      </x:c>
      <x:c r="F211" t="str">
        <x:v>Stationery</x:v>
      </x:c>
      <x:c r="G211" t="n">
        <x:v>1</x:v>
      </x:c>
      <x:c r="H211" s="30" t="n">
        <x:v>320</x:v>
      </x:c>
      <x:c r="I211" s="32" t="n">
        <x:v>0.1</x:v>
      </x:c>
      <x:c r="J211" s="30" t="n">
        <x:v>288</x:v>
      </x:c>
      <x:c r="K211" s="30" t="n">
        <x:v>170</x:v>
      </x:c>
      <x:c r="L211" s="30" t="n">
        <x:v>118</x:v>
      </x:c>
    </x:row>
    <x:row r="212">
      <x:c r="A212" t="str">
        <x:v>TX-0211</x:v>
      </x:c>
      <x:c r="B212" s="28" t="n">
        <x:v>46128</x:v>
      </x:c>
      <x:c r="C212" t="str">
        <x:v>Rajshahi</x:v>
      </x:c>
      <x:c r="D212" t="str">
        <x:v>Online</x:v>
      </x:c>
      <x:c r="E212" t="str">
        <x:v>Polo Shirt</x:v>
      </x:c>
      <x:c r="F212" t="str">
        <x:v>Apparel</x:v>
      </x:c>
      <x:c r="G212" t="n">
        <x:v>7</x:v>
      </x:c>
      <x:c r="H212" s="30" t="n">
        <x:v>1200</x:v>
      </x:c>
      <x:c r="I212" s="32" t="n">
        <x:v>0.1</x:v>
      </x:c>
      <x:c r="J212" s="30" t="n">
        <x:v>7560</x:v>
      </x:c>
      <x:c r="K212" s="30" t="n">
        <x:v>5040</x:v>
      </x:c>
      <x:c r="L212" s="30" t="n">
        <x:v>2520</x:v>
      </x:c>
    </x:row>
    <x:row r="213">
      <x:c r="A213" t="str">
        <x:v>TX-0212</x:v>
      </x:c>
      <x:c r="B213" s="28" t="n">
        <x:v>46128</x:v>
      </x:c>
      <x:c r="C213" t="str">
        <x:v>Khulna</x:v>
      </x:c>
      <x:c r="D213" t="str">
        <x:v>Online</x:v>
      </x:c>
      <x:c r="E213" t="str">
        <x:v>Polo Shirt</x:v>
      </x:c>
      <x:c r="F213" t="str">
        <x:v>Apparel</x:v>
      </x:c>
      <x:c r="G213" t="n">
        <x:v>6</x:v>
      </x:c>
      <x:c r="H213" s="30" t="n">
        <x:v>1200</x:v>
      </x:c>
      <x:c r="I213" s="32" t="n">
        <x:v>0.15</x:v>
      </x:c>
      <x:c r="J213" s="30" t="n">
        <x:v>6120</x:v>
      </x:c>
      <x:c r="K213" s="30" t="n">
        <x:v>4320</x:v>
      </x:c>
      <x:c r="L213" s="30" t="n">
        <x:v>1800</x:v>
      </x:c>
    </x:row>
    <x:row r="214">
      <x:c r="A214" t="str">
        <x:v>TX-0213</x:v>
      </x:c>
      <x:c r="B214" s="28" t="n">
        <x:v>46129</x:v>
      </x:c>
      <x:c r="C214" t="str">
        <x:v>Dhaka</x:v>
      </x:c>
      <x:c r="D214" t="str">
        <x:v>Online</x:v>
      </x:c>
      <x:c r="E214" t="str">
        <x:v>Backpack</x:v>
      </x:c>
      <x:c r="F214" t="str">
        <x:v>Accessories</x:v>
      </x:c>
      <x:c r="G214" t="n">
        <x:v>6</x:v>
      </x:c>
      <x:c r="H214" s="30" t="n">
        <x:v>1800</x:v>
      </x:c>
      <x:c r="I214" s="32" t="n">
        <x:v>0.15</x:v>
      </x:c>
      <x:c r="J214" s="30" t="n">
        <x:v>9180</x:v>
      </x:c>
      <x:c r="K214" s="30" t="n">
        <x:v>6720</x:v>
      </x:c>
      <x:c r="L214" s="30" t="n">
        <x:v>2460</x:v>
      </x:c>
    </x:row>
    <x:row r="215">
      <x:c r="A215" t="str">
        <x:v>TX-0214</x:v>
      </x:c>
      <x:c r="B215" s="28" t="n">
        <x:v>46129</x:v>
      </x:c>
      <x:c r="C215" t="str">
        <x:v>Chattogram</x:v>
      </x:c>
      <x:c r="D215" t="str">
        <x:v>Partner</x:v>
      </x:c>
      <x:c r="E215" t="str">
        <x:v>Sneakers</x:v>
      </x:c>
      <x:c r="F215" t="str">
        <x:v>Footwear</x:v>
      </x:c>
      <x:c r="G215" t="n">
        <x:v>6</x:v>
      </x:c>
      <x:c r="H215" s="30" t="n">
        <x:v>2400</x:v>
      </x:c>
      <x:c r="I215" s="32" t="n">
        <x:v>0</x:v>
      </x:c>
      <x:c r="J215" s="30" t="n">
        <x:v>14400</x:v>
      </x:c>
      <x:c r="K215" s="30" t="n">
        <x:v>9300</x:v>
      </x:c>
      <x:c r="L215" s="30" t="n">
        <x:v>5100</x:v>
      </x:c>
    </x:row>
    <x:row r="216">
      <x:c r="A216" t="str">
        <x:v>TX-0215</x:v>
      </x:c>
      <x:c r="B216" s="28" t="n">
        <x:v>46130</x:v>
      </x:c>
      <x:c r="C216" t="str">
        <x:v>Rajshahi</x:v>
      </x:c>
      <x:c r="D216" t="str">
        <x:v>Partner</x:v>
      </x:c>
      <x:c r="E216" t="str">
        <x:v>Backpack</x:v>
      </x:c>
      <x:c r="F216" t="str">
        <x:v>Accessories</x:v>
      </x:c>
      <x:c r="G216" t="n">
        <x:v>7</x:v>
      </x:c>
      <x:c r="H216" s="30" t="n">
        <x:v>1800</x:v>
      </x:c>
      <x:c r="I216" s="32" t="n">
        <x:v>0</x:v>
      </x:c>
      <x:c r="J216" s="30" t="n">
        <x:v>12600</x:v>
      </x:c>
      <x:c r="K216" s="30" t="n">
        <x:v>7840</x:v>
      </x:c>
      <x:c r="L216" s="30" t="n">
        <x:v>4760</x:v>
      </x:c>
    </x:row>
    <x:row r="217">
      <x:c r="A217" t="str">
        <x:v>TX-0216</x:v>
      </x:c>
      <x:c r="B217" s="28" t="n">
        <x:v>46130</x:v>
      </x:c>
      <x:c r="C217" t="str">
        <x:v>Khulna</x:v>
      </x:c>
      <x:c r="D217" t="str">
        <x:v>Partner</x:v>
      </x:c>
      <x:c r="E217" t="str">
        <x:v>Sneakers</x:v>
      </x:c>
      <x:c r="F217" t="str">
        <x:v>Footwear</x:v>
      </x:c>
      <x:c r="G217" t="n">
        <x:v>5</x:v>
      </x:c>
      <x:c r="H217" s="30" t="n">
        <x:v>2400</x:v>
      </x:c>
      <x:c r="I217" s="32" t="n">
        <x:v>0</x:v>
      </x:c>
      <x:c r="J217" s="30" t="n">
        <x:v>12000</x:v>
      </x:c>
      <x:c r="K217" s="30" t="n">
        <x:v>7750</x:v>
      </x:c>
      <x:c r="L217" s="30" t="n">
        <x:v>4250</x:v>
      </x:c>
    </x:row>
    <x:row r="218">
      <x:c r="A218" t="str">
        <x:v>TX-0217</x:v>
      </x:c>
      <x:c r="B218" s="28" t="n">
        <x:v>46131</x:v>
      </x:c>
      <x:c r="C218" t="str">
        <x:v>Dhaka</x:v>
      </x:c>
      <x:c r="D218" t="str">
        <x:v>Store</x:v>
      </x:c>
      <x:c r="E218" t="str">
        <x:v>Polo Shirt</x:v>
      </x:c>
      <x:c r="F218" t="str">
        <x:v>Apparel</x:v>
      </x:c>
      <x:c r="G218" t="n">
        <x:v>3</x:v>
      </x:c>
      <x:c r="H218" s="30" t="n">
        <x:v>1200</x:v>
      </x:c>
      <x:c r="I218" s="32" t="n">
        <x:v>0</x:v>
      </x:c>
      <x:c r="J218" s="30" t="n">
        <x:v>3600</x:v>
      </x:c>
      <x:c r="K218" s="30" t="n">
        <x:v>2160</x:v>
      </x:c>
      <x:c r="L218" s="30" t="n">
        <x:v>1440</x:v>
      </x:c>
    </x:row>
    <x:row r="219">
      <x:c r="A219" t="str">
        <x:v>TX-0218</x:v>
      </x:c>
      <x:c r="B219" s="28" t="n">
        <x:v>46131</x:v>
      </x:c>
      <x:c r="C219" t="str">
        <x:v>Chattogram</x:v>
      </x:c>
      <x:c r="D219" t="str">
        <x:v>Store</x:v>
      </x:c>
      <x:c r="E219" t="str">
        <x:v>Formal Shirt</x:v>
      </x:c>
      <x:c r="F219" t="str">
        <x:v>Apparel</x:v>
      </x:c>
      <x:c r="G219" t="n">
        <x:v>2</x:v>
      </x:c>
      <x:c r="H219" s="30" t="n">
        <x:v>1450</x:v>
      </x:c>
      <x:c r="I219" s="32" t="n">
        <x:v>0.1</x:v>
      </x:c>
      <x:c r="J219" s="30" t="n">
        <x:v>2610</x:v>
      </x:c>
      <x:c r="K219" s="30" t="n">
        <x:v>1760</x:v>
      </x:c>
      <x:c r="L219" s="30" t="n">
        <x:v>850</x:v>
      </x:c>
    </x:row>
    <x:row r="220">
      <x:c r="A220" t="str">
        <x:v>TX-0219</x:v>
      </x:c>
      <x:c r="B220" s="28" t="n">
        <x:v>46132</x:v>
      </x:c>
      <x:c r="C220" t="str">
        <x:v>Rajshahi</x:v>
      </x:c>
      <x:c r="D220" t="str">
        <x:v>Store</x:v>
      </x:c>
      <x:c r="E220" t="str">
        <x:v>T-Shirt</x:v>
      </x:c>
      <x:c r="F220" t="str">
        <x:v>Apparel</x:v>
      </x:c>
      <x:c r="G220" t="n">
        <x:v>1</x:v>
      </x:c>
      <x:c r="H220" s="30" t="n">
        <x:v>650</x:v>
      </x:c>
      <x:c r="I220" s="32" t="n">
        <x:v>0</x:v>
      </x:c>
      <x:c r="J220" s="30" t="n">
        <x:v>650</x:v>
      </x:c>
      <x:c r="K220" s="30" t="n">
        <x:v>360</x:v>
      </x:c>
      <x:c r="L220" s="30" t="n">
        <x:v>290</x:v>
      </x:c>
    </x:row>
    <x:row r="221">
      <x:c r="A221" t="str">
        <x:v>TX-0220</x:v>
      </x:c>
      <x:c r="B221" s="28" t="n">
        <x:v>46132</x:v>
      </x:c>
      <x:c r="C221" t="str">
        <x:v>Khulna</x:v>
      </x:c>
      <x:c r="D221" t="str">
        <x:v>Online</x:v>
      </x:c>
      <x:c r="E221" t="str">
        <x:v>Sneakers</x:v>
      </x:c>
      <x:c r="F221" t="str">
        <x:v>Footwear</x:v>
      </x:c>
      <x:c r="G221" t="n">
        <x:v>6</x:v>
      </x:c>
      <x:c r="H221" s="30" t="n">
        <x:v>2400</x:v>
      </x:c>
      <x:c r="I221" s="32" t="n">
        <x:v>0</x:v>
      </x:c>
      <x:c r="J221" s="30" t="n">
        <x:v>14400</x:v>
      </x:c>
      <x:c r="K221" s="30" t="n">
        <x:v>9300</x:v>
      </x:c>
      <x:c r="L221" s="30" t="n">
        <x:v>5100</x:v>
      </x:c>
    </x:row>
    <x:row r="222">
      <x:c r="A222" t="str">
        <x:v>TX-0221</x:v>
      </x:c>
      <x:c r="B222" s="28" t="n">
        <x:v>46133</x:v>
      </x:c>
      <x:c r="C222" t="str">
        <x:v>Dhaka</x:v>
      </x:c>
      <x:c r="D222" t="str">
        <x:v>Online</x:v>
      </x:c>
      <x:c r="E222" t="str">
        <x:v>Formal Shirt</x:v>
      </x:c>
      <x:c r="F222" t="str">
        <x:v>Apparel</x:v>
      </x:c>
      <x:c r="G222" t="n">
        <x:v>6</x:v>
      </x:c>
      <x:c r="H222" s="30" t="n">
        <x:v>1450</x:v>
      </x:c>
      <x:c r="I222" s="32" t="n">
        <x:v>0</x:v>
      </x:c>
      <x:c r="J222" s="30" t="n">
        <x:v>8700</x:v>
      </x:c>
      <x:c r="K222" s="30" t="n">
        <x:v>5280</x:v>
      </x:c>
      <x:c r="L222" s="30" t="n">
        <x:v>3420</x:v>
      </x:c>
    </x:row>
    <x:row r="223">
      <x:c r="A223" t="str">
        <x:v>TX-0222</x:v>
      </x:c>
      <x:c r="B223" s="28" t="n">
        <x:v>46133</x:v>
      </x:c>
      <x:c r="C223" t="str">
        <x:v>Chattogram</x:v>
      </x:c>
      <x:c r="D223" t="str">
        <x:v>Online</x:v>
      </x:c>
      <x:c r="E223" t="str">
        <x:v>Formal Shirt</x:v>
      </x:c>
      <x:c r="F223" t="str">
        <x:v>Apparel</x:v>
      </x:c>
      <x:c r="G223" t="n">
        <x:v>6</x:v>
      </x:c>
      <x:c r="H223" s="30" t="n">
        <x:v>1450</x:v>
      </x:c>
      <x:c r="I223" s="32" t="n">
        <x:v>0.15</x:v>
      </x:c>
      <x:c r="J223" s="30" t="n">
        <x:v>7395</x:v>
      </x:c>
      <x:c r="K223" s="30" t="n">
        <x:v>5280</x:v>
      </x:c>
      <x:c r="L223" s="30" t="n">
        <x:v>2115</x:v>
      </x:c>
    </x:row>
    <x:row r="224">
      <x:c r="A224" t="str">
        <x:v>TX-0223</x:v>
      </x:c>
      <x:c r="B224" s="28" t="n">
        <x:v>46134</x:v>
      </x:c>
      <x:c r="C224" t="str">
        <x:v>Rajshahi</x:v>
      </x:c>
      <x:c r="D224" t="str">
        <x:v>Partner</x:v>
      </x:c>
      <x:c r="E224" t="str">
        <x:v>Sneakers</x:v>
      </x:c>
      <x:c r="F224" t="str">
        <x:v>Footwear</x:v>
      </x:c>
      <x:c r="G224" t="n">
        <x:v>5</x:v>
      </x:c>
      <x:c r="H224" s="30" t="n">
        <x:v>2400</x:v>
      </x:c>
      <x:c r="I224" s="32" t="n">
        <x:v>0.15</x:v>
      </x:c>
      <x:c r="J224" s="30" t="n">
        <x:v>10200</x:v>
      </x:c>
      <x:c r="K224" s="30" t="n">
        <x:v>7750</x:v>
      </x:c>
      <x:c r="L224" s="30" t="n">
        <x:v>2450</x:v>
      </x:c>
    </x:row>
    <x:row r="225">
      <x:c r="A225" t="str">
        <x:v>TX-0224</x:v>
      </x:c>
      <x:c r="B225" s="28" t="n">
        <x:v>46134</x:v>
      </x:c>
      <x:c r="C225" t="str">
        <x:v>Khulna</x:v>
      </x:c>
      <x:c r="D225" t="str">
        <x:v>Partner</x:v>
      </x:c>
      <x:c r="E225" t="str">
        <x:v>Polo Shirt</x:v>
      </x:c>
      <x:c r="F225" t="str">
        <x:v>Apparel</x:v>
      </x:c>
      <x:c r="G225" t="n">
        <x:v>5</x:v>
      </x:c>
      <x:c r="H225" s="30" t="n">
        <x:v>1200</x:v>
      </x:c>
      <x:c r="I225" s="32" t="n">
        <x:v>0.1</x:v>
      </x:c>
      <x:c r="J225" s="30" t="n">
        <x:v>5400</x:v>
      </x:c>
      <x:c r="K225" s="30" t="n">
        <x:v>3600</x:v>
      </x:c>
      <x:c r="L225" s="30" t="n">
        <x:v>1800</x:v>
      </x:c>
    </x:row>
    <x:row r="226">
      <x:c r="A226" t="str">
        <x:v>TX-0225</x:v>
      </x:c>
      <x:c r="B226" s="28" t="n">
        <x:v>46135</x:v>
      </x:c>
      <x:c r="C226" t="str">
        <x:v>Dhaka</x:v>
      </x:c>
      <x:c r="D226" t="str">
        <x:v>Partner</x:v>
      </x:c>
      <x:c r="E226" t="str">
        <x:v>Notebook Set</x:v>
      </x:c>
      <x:c r="F226" t="str">
        <x:v>Stationery</x:v>
      </x:c>
      <x:c r="G226" t="n">
        <x:v>4</x:v>
      </x:c>
      <x:c r="H226" s="30" t="n">
        <x:v>320</x:v>
      </x:c>
      <x:c r="I226" s="32" t="n">
        <x:v>0.1</x:v>
      </x:c>
      <x:c r="J226" s="30" t="n">
        <x:v>1152</x:v>
      </x:c>
      <x:c r="K226" s="30" t="n">
        <x:v>680</x:v>
      </x:c>
      <x:c r="L226" s="30" t="n">
        <x:v>472</x:v>
      </x:c>
    </x:row>
    <x:row r="227">
      <x:c r="A227" t="str">
        <x:v>TX-0226</x:v>
      </x:c>
      <x:c r="B227" s="28" t="n">
        <x:v>46135</x:v>
      </x:c>
      <x:c r="C227" t="str">
        <x:v>Chattogram</x:v>
      </x:c>
      <x:c r="D227" t="str">
        <x:v>Store</x:v>
      </x:c>
      <x:c r="E227" t="str">
        <x:v>Polo Shirt</x:v>
      </x:c>
      <x:c r="F227" t="str">
        <x:v>Apparel</x:v>
      </x:c>
      <x:c r="G227" t="n">
        <x:v>1</x:v>
      </x:c>
      <x:c r="H227" s="30" t="n">
        <x:v>1200</x:v>
      </x:c>
      <x:c r="I227" s="32" t="n">
        <x:v>0.1</x:v>
      </x:c>
      <x:c r="J227" s="30" t="n">
        <x:v>1080</x:v>
      </x:c>
      <x:c r="K227" s="30" t="n">
        <x:v>720</x:v>
      </x:c>
      <x:c r="L227" s="30" t="n">
        <x:v>360</x:v>
      </x:c>
    </x:row>
    <x:row r="228">
      <x:c r="A228" t="str">
        <x:v>TX-0227</x:v>
      </x:c>
      <x:c r="B228" s="28" t="n">
        <x:v>46136</x:v>
      </x:c>
      <x:c r="C228" t="str">
        <x:v>Rajshahi</x:v>
      </x:c>
      <x:c r="D228" t="str">
        <x:v>Store</x:v>
      </x:c>
      <x:c r="E228" t="str">
        <x:v>Backpack</x:v>
      </x:c>
      <x:c r="F228" t="str">
        <x:v>Accessories</x:v>
      </x:c>
      <x:c r="G228" t="n">
        <x:v>8</x:v>
      </x:c>
      <x:c r="H228" s="30" t="n">
        <x:v>1800</x:v>
      </x:c>
      <x:c r="I228" s="32" t="n">
        <x:v>0.1</x:v>
      </x:c>
      <x:c r="J228" s="30" t="n">
        <x:v>12960</x:v>
      </x:c>
      <x:c r="K228" s="30" t="n">
        <x:v>8960</x:v>
      </x:c>
      <x:c r="L228" s="30" t="n">
        <x:v>4000</x:v>
      </x:c>
    </x:row>
    <x:row r="229">
      <x:c r="A229" t="str">
        <x:v>TX-0228</x:v>
      </x:c>
      <x:c r="B229" s="28" t="n">
        <x:v>46136</x:v>
      </x:c>
      <x:c r="C229" t="str">
        <x:v>Khulna</x:v>
      </x:c>
      <x:c r="D229" t="str">
        <x:v>Store</x:v>
      </x:c>
      <x:c r="E229" t="str">
        <x:v>Backpack</x:v>
      </x:c>
      <x:c r="F229" t="str">
        <x:v>Accessories</x:v>
      </x:c>
      <x:c r="G229" t="n">
        <x:v>1</x:v>
      </x:c>
      <x:c r="H229" s="30" t="n">
        <x:v>1800</x:v>
      </x:c>
      <x:c r="I229" s="32" t="n">
        <x:v>0.15</x:v>
      </x:c>
      <x:c r="J229" s="30" t="n">
        <x:v>1530</x:v>
      </x:c>
      <x:c r="K229" s="30" t="n">
        <x:v>1120</x:v>
      </x:c>
      <x:c r="L229" s="30" t="n">
        <x:v>410</x:v>
      </x:c>
    </x:row>
    <x:row r="230">
      <x:c r="A230" t="str">
        <x:v>TX-0229</x:v>
      </x:c>
      <x:c r="B230" s="28" t="n">
        <x:v>46137</x:v>
      </x:c>
      <x:c r="C230" t="str">
        <x:v>Dhaka</x:v>
      </x:c>
      <x:c r="D230" t="str">
        <x:v>Online</x:v>
      </x:c>
      <x:c r="E230" t="str">
        <x:v>Formal Shirt</x:v>
      </x:c>
      <x:c r="F230" t="str">
        <x:v>Apparel</x:v>
      </x:c>
      <x:c r="G230" t="n">
        <x:v>8</x:v>
      </x:c>
      <x:c r="H230" s="30" t="n">
        <x:v>1450</x:v>
      </x:c>
      <x:c r="I230" s="32" t="n">
        <x:v>0.1</x:v>
      </x:c>
      <x:c r="J230" s="30" t="n">
        <x:v>10440</x:v>
      </x:c>
      <x:c r="K230" s="30" t="n">
        <x:v>7040</x:v>
      </x:c>
      <x:c r="L230" s="30" t="n">
        <x:v>3400</x:v>
      </x:c>
    </x:row>
    <x:row r="231">
      <x:c r="A231" t="str">
        <x:v>TX-0230</x:v>
      </x:c>
      <x:c r="B231" s="28" t="n">
        <x:v>46137</x:v>
      </x:c>
      <x:c r="C231" t="str">
        <x:v>Chattogram</x:v>
      </x:c>
      <x:c r="D231" t="str">
        <x:v>Online</x:v>
      </x:c>
      <x:c r="E231" t="str">
        <x:v>Formal Shirt</x:v>
      </x:c>
      <x:c r="F231" t="str">
        <x:v>Apparel</x:v>
      </x:c>
      <x:c r="G231" t="n">
        <x:v>6</x:v>
      </x:c>
      <x:c r="H231" s="30" t="n">
        <x:v>1450</x:v>
      </x:c>
      <x:c r="I231" s="32" t="n">
        <x:v>0.15</x:v>
      </x:c>
      <x:c r="J231" s="30" t="n">
        <x:v>7395</x:v>
      </x:c>
      <x:c r="K231" s="30" t="n">
        <x:v>5280</x:v>
      </x:c>
      <x:c r="L231" s="30" t="n">
        <x:v>2115</x:v>
      </x:c>
    </x:row>
    <x:row r="232">
      <x:c r="A232" t="str">
        <x:v>TX-0231</x:v>
      </x:c>
      <x:c r="B232" s="28" t="n">
        <x:v>46138</x:v>
      </x:c>
      <x:c r="C232" t="str">
        <x:v>Rajshahi</x:v>
      </x:c>
      <x:c r="D232" t="str">
        <x:v>Online</x:v>
      </x:c>
      <x:c r="E232" t="str">
        <x:v>Polo Shirt</x:v>
      </x:c>
      <x:c r="F232" t="str">
        <x:v>Apparel</x:v>
      </x:c>
      <x:c r="G232" t="n">
        <x:v>3</x:v>
      </x:c>
      <x:c r="H232" s="30" t="n">
        <x:v>1200</x:v>
      </x:c>
      <x:c r="I232" s="32" t="n">
        <x:v>0.1</x:v>
      </x:c>
      <x:c r="J232" s="30" t="n">
        <x:v>3240</x:v>
      </x:c>
      <x:c r="K232" s="30" t="n">
        <x:v>2160</x:v>
      </x:c>
      <x:c r="L232" s="30" t="n">
        <x:v>1080</x:v>
      </x:c>
    </x:row>
    <x:row r="233">
      <x:c r="A233" t="str">
        <x:v>TX-0232</x:v>
      </x:c>
      <x:c r="B233" s="28" t="n">
        <x:v>46138</x:v>
      </x:c>
      <x:c r="C233" t="str">
        <x:v>Khulna</x:v>
      </x:c>
      <x:c r="D233" t="str">
        <x:v>Partner</x:v>
      </x:c>
      <x:c r="E233" t="str">
        <x:v>Formal Shirt</x:v>
      </x:c>
      <x:c r="F233" t="str">
        <x:v>Apparel</x:v>
      </x:c>
      <x:c r="G233" t="n">
        <x:v>4</x:v>
      </x:c>
      <x:c r="H233" s="30" t="n">
        <x:v>1450</x:v>
      </x:c>
      <x:c r="I233" s="32" t="n">
        <x:v>0</x:v>
      </x:c>
      <x:c r="J233" s="30" t="n">
        <x:v>5800</x:v>
      </x:c>
      <x:c r="K233" s="30" t="n">
        <x:v>3520</x:v>
      </x:c>
      <x:c r="L233" s="30" t="n">
        <x:v>2280</x:v>
      </x:c>
    </x:row>
    <x:row r="234">
      <x:c r="A234" t="str">
        <x:v>TX-0233</x:v>
      </x:c>
      <x:c r="B234" s="28" t="n">
        <x:v>46139</x:v>
      </x:c>
      <x:c r="C234" t="str">
        <x:v>Dhaka</x:v>
      </x:c>
      <x:c r="D234" t="str">
        <x:v>Partner</x:v>
      </x:c>
      <x:c r="E234" t="str">
        <x:v>Sneakers</x:v>
      </x:c>
      <x:c r="F234" t="str">
        <x:v>Footwear</x:v>
      </x:c>
      <x:c r="G234" t="n">
        <x:v>5</x:v>
      </x:c>
      <x:c r="H234" s="30" t="n">
        <x:v>2400</x:v>
      </x:c>
      <x:c r="I234" s="32" t="n">
        <x:v>0.1</x:v>
      </x:c>
      <x:c r="J234" s="30" t="n">
        <x:v>10800</x:v>
      </x:c>
      <x:c r="K234" s="30" t="n">
        <x:v>7750</x:v>
      </x:c>
      <x:c r="L234" s="30" t="n">
        <x:v>3050</x:v>
      </x:c>
    </x:row>
    <x:row r="235">
      <x:c r="A235" t="str">
        <x:v>TX-0234</x:v>
      </x:c>
      <x:c r="B235" s="28" t="n">
        <x:v>46139</x:v>
      </x:c>
      <x:c r="C235" t="str">
        <x:v>Chattogram</x:v>
      </x:c>
      <x:c r="D235" t="str">
        <x:v>Partner</x:v>
      </x:c>
      <x:c r="E235" t="str">
        <x:v>Backpack</x:v>
      </x:c>
      <x:c r="F235" t="str">
        <x:v>Accessories</x:v>
      </x:c>
      <x:c r="G235" t="n">
        <x:v>2</x:v>
      </x:c>
      <x:c r="H235" s="30" t="n">
        <x:v>1800</x:v>
      </x:c>
      <x:c r="I235" s="32" t="n">
        <x:v>0.05</x:v>
      </x:c>
      <x:c r="J235" s="30" t="n">
        <x:v>3420</x:v>
      </x:c>
      <x:c r="K235" s="30" t="n">
        <x:v>2240</x:v>
      </x:c>
      <x:c r="L235" s="30" t="n">
        <x:v>1180</x:v>
      </x:c>
    </x:row>
    <x:row r="236">
      <x:c r="A236" t="str">
        <x:v>TX-0235</x:v>
      </x:c>
      <x:c r="B236" s="28" t="n">
        <x:v>46140</x:v>
      </x:c>
      <x:c r="C236" t="str">
        <x:v>Rajshahi</x:v>
      </x:c>
      <x:c r="D236" t="str">
        <x:v>Store</x:v>
      </x:c>
      <x:c r="E236" t="str">
        <x:v>T-Shirt</x:v>
      </x:c>
      <x:c r="F236" t="str">
        <x:v>Apparel</x:v>
      </x:c>
      <x:c r="G236" t="n">
        <x:v>3</x:v>
      </x:c>
      <x:c r="H236" s="30" t="n">
        <x:v>650</x:v>
      </x:c>
      <x:c r="I236" s="32" t="n">
        <x:v>0</x:v>
      </x:c>
      <x:c r="J236" s="30" t="n">
        <x:v>1950</x:v>
      </x:c>
      <x:c r="K236" s="30" t="n">
        <x:v>1080</x:v>
      </x:c>
      <x:c r="L236" s="30" t="n">
        <x:v>870</x:v>
      </x:c>
    </x:row>
    <x:row r="237">
      <x:c r="A237" t="str">
        <x:v>TX-0236</x:v>
      </x:c>
      <x:c r="B237" s="28" t="n">
        <x:v>46140</x:v>
      </x:c>
      <x:c r="C237" t="str">
        <x:v>Khulna</x:v>
      </x:c>
      <x:c r="D237" t="str">
        <x:v>Store</x:v>
      </x:c>
      <x:c r="E237" t="str">
        <x:v>Polo Shirt</x:v>
      </x:c>
      <x:c r="F237" t="str">
        <x:v>Apparel</x:v>
      </x:c>
      <x:c r="G237" t="n">
        <x:v>6</x:v>
      </x:c>
      <x:c r="H237" s="30" t="n">
        <x:v>1200</x:v>
      </x:c>
      <x:c r="I237" s="32" t="n">
        <x:v>0</x:v>
      </x:c>
      <x:c r="J237" s="30" t="n">
        <x:v>7200</x:v>
      </x:c>
      <x:c r="K237" s="30" t="n">
        <x:v>4320</x:v>
      </x:c>
      <x:c r="L237" s="30" t="n">
        <x:v>2880</x:v>
      </x:c>
    </x:row>
    <x:row r="238">
      <x:c r="A238" t="str">
        <x:v>TX-0237</x:v>
      </x:c>
      <x:c r="B238" s="28" t="n">
        <x:v>46141</x:v>
      </x:c>
      <x:c r="C238" t="str">
        <x:v>Dhaka</x:v>
      </x:c>
      <x:c r="D238" t="str">
        <x:v>Store</x:v>
      </x:c>
      <x:c r="E238" t="str">
        <x:v>Notebook Set</x:v>
      </x:c>
      <x:c r="F238" t="str">
        <x:v>Stationery</x:v>
      </x:c>
      <x:c r="G238" t="n">
        <x:v>1</x:v>
      </x:c>
      <x:c r="H238" s="30" t="n">
        <x:v>320</x:v>
      </x:c>
      <x:c r="I238" s="32" t="n">
        <x:v>0.1</x:v>
      </x:c>
      <x:c r="J238" s="30" t="n">
        <x:v>288</x:v>
      </x:c>
      <x:c r="K238" s="30" t="n">
        <x:v>170</x:v>
      </x:c>
      <x:c r="L238" s="30" t="n">
        <x:v>118</x:v>
      </x:c>
    </x:row>
    <x:row r="239">
      <x:c r="A239" t="str">
        <x:v>TX-0238</x:v>
      </x:c>
      <x:c r="B239" s="28" t="n">
        <x:v>46141</x:v>
      </x:c>
      <x:c r="C239" t="str">
        <x:v>Chattogram</x:v>
      </x:c>
      <x:c r="D239" t="str">
        <x:v>Online</x:v>
      </x:c>
      <x:c r="E239" t="str">
        <x:v>Backpack</x:v>
      </x:c>
      <x:c r="F239" t="str">
        <x:v>Accessories</x:v>
      </x:c>
      <x:c r="G239" t="n">
        <x:v>6</x:v>
      </x:c>
      <x:c r="H239" s="30" t="n">
        <x:v>1800</x:v>
      </x:c>
      <x:c r="I239" s="32" t="n">
        <x:v>0.05</x:v>
      </x:c>
      <x:c r="J239" s="30" t="n">
        <x:v>10260</x:v>
      </x:c>
      <x:c r="K239" s="30" t="n">
        <x:v>6720</x:v>
      </x:c>
      <x:c r="L239" s="30" t="n">
        <x:v>3540</x:v>
      </x:c>
    </x:row>
    <x:row r="240">
      <x:c r="A240" t="str">
        <x:v>TX-0239</x:v>
      </x:c>
      <x:c r="B240" s="28" t="n">
        <x:v>46142</x:v>
      </x:c>
      <x:c r="C240" t="str">
        <x:v>Rajshahi</x:v>
      </x:c>
      <x:c r="D240" t="str">
        <x:v>Online</x:v>
      </x:c>
      <x:c r="E240" t="str">
        <x:v>Notebook Set</x:v>
      </x:c>
      <x:c r="F240" t="str">
        <x:v>Stationery</x:v>
      </x:c>
      <x:c r="G240" t="n">
        <x:v>6</x:v>
      </x:c>
      <x:c r="H240" s="30" t="n">
        <x:v>320</x:v>
      </x:c>
      <x:c r="I240" s="32" t="n">
        <x:v>0</x:v>
      </x:c>
      <x:c r="J240" s="30" t="n">
        <x:v>1920</x:v>
      </x:c>
      <x:c r="K240" s="30" t="n">
        <x:v>1020</x:v>
      </x:c>
      <x:c r="L240" s="30" t="n">
        <x:v>900</x:v>
      </x:c>
    </x:row>
    <x:row r="241">
      <x:c r="A241" t="str">
        <x:v>TX-0240</x:v>
      </x:c>
      <x:c r="B241" s="28" t="n">
        <x:v>46142</x:v>
      </x:c>
      <x:c r="C241" t="str">
        <x:v>Khulna</x:v>
      </x:c>
      <x:c r="D241" t="str">
        <x:v>Online</x:v>
      </x:c>
      <x:c r="E241" t="str">
        <x:v>Polo Shirt</x:v>
      </x:c>
      <x:c r="F241" t="str">
        <x:v>Apparel</x:v>
      </x:c>
      <x:c r="G241" t="n">
        <x:v>5</x:v>
      </x:c>
      <x:c r="H241" s="30" t="n">
        <x:v>1200</x:v>
      </x:c>
      <x:c r="I241" s="32" t="n">
        <x:v>0.05</x:v>
      </x:c>
      <x:c r="J241" s="30" t="n">
        <x:v>5700</x:v>
      </x:c>
      <x:c r="K241" s="30" t="n">
        <x:v>3600</x:v>
      </x:c>
      <x:c r="L241" s="30" t="n">
        <x:v>2100</x:v>
      </x:c>
    </x:row>
  </x:sheetData>
  <x:pageMargins left="0.7" right="0.7" top="0.75" bottom="0.75" header="0.3" footer="0.3"/>
  <x:tableParts count="1">
    <x:tablePart xmlns:r="http://schemas.openxmlformats.org/officeDocument/2006/relationships" r:id="Rbe58f1cf1ad24d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" t="str">
        <x:v>Final Project — Retail Sales Analytics Dashboard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6" t="str">
        <x:v>Business question</x:v>
      </x:c>
      <x:c r="B4" s="15" t="str">
        <x:v>How is revenue and profit performing across time, regions, channels, categories, and products?</x:v>
      </x:c>
      <x:c r="C4" s="15"/>
      <x:c r="D4" s="15"/>
      <x:c r="E4" s="15"/>
      <x:c r="F4" s="15"/>
      <x:c r="G4" s="15"/>
      <x:c r="H4" s="15"/>
    </x:row>
    <x:row r="5">
      <x:c r="A5" s="16" t="str">
        <x:v>Primary audience</x:v>
      </x:c>
      <x:c r="B5" s="15" t="str">
        <x:v>Sales manager and finance lead</x:v>
      </x:c>
      <x:c r="C5" s="15"/>
      <x:c r="D5" s="15"/>
      <x:c r="E5" s="15"/>
      <x:c r="F5" s="15"/>
      <x:c r="G5" s="15"/>
      <x:c r="H5" s="15"/>
    </x:row>
    <x:row r="6">
      <x:c r="A6" s="16" t="str">
        <x:v>Required KPIs</x:v>
      </x:c>
      <x:c r="B6" s="15" t="str">
        <x:v>Revenue, profit, profit margin, quantity, average order value</x:v>
      </x:c>
      <x:c r="C6" s="15"/>
      <x:c r="D6" s="15"/>
      <x:c r="E6" s="15"/>
      <x:c r="F6" s="15"/>
      <x:c r="G6" s="15"/>
      <x:c r="H6" s="15"/>
    </x:row>
    <x:row r="7">
      <x:c r="A7" s="16" t="str">
        <x:v>Required views</x:v>
      </x:c>
      <x:c r="B7" s="15" t="str">
        <x:v>Monthly trend, region comparison, channel mix, category performance, top products</x:v>
      </x:c>
      <x:c r="C7" s="15"/>
      <x:c r="D7" s="15"/>
      <x:c r="E7" s="15"/>
      <x:c r="F7" s="15"/>
      <x:c r="G7" s="15"/>
      <x:c r="H7" s="15"/>
    </x:row>
    <x:row r="8">
      <x:c r="A8" s="16" t="str">
        <x:v>Controls</x:v>
      </x:c>
      <x:c r="B8" s="15" t="str">
        <x:v>Region, channel, category, and date filters</x:v>
      </x:c>
      <x:c r="C8" s="15"/>
      <x:c r="D8" s="15"/>
      <x:c r="E8" s="15"/>
      <x:c r="F8" s="15"/>
      <x:c r="G8" s="15"/>
      <x:c r="H8" s="15"/>
    </x:row>
    <x:row r="9">
      <x:c r="A9" s="16" t="str">
        <x:v>Quality checks</x:v>
      </x:c>
      <x:c r="B9" s="15" t="str">
        <x:v>Reconcile totals, inspect negative/blank values, verify date coverage, check grain</x:v>
      </x:c>
      <x:c r="C9" s="15"/>
      <x:c r="D9" s="15"/>
      <x:c r="E9" s="15"/>
      <x:c r="F9" s="15"/>
      <x:c r="G9" s="15"/>
      <x:c r="H9" s="15"/>
    </x:row>
    <x:row r="10">
      <x:c r="A10" s="16" t="str">
        <x:v>Final narrative</x:v>
      </x:c>
      <x:c r="B10" s="15" t="str">
        <x:v>Write three findings, two recommendations, and at least two limitations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6" t="str">
        <x:v>Deliverable checklist</x:v>
      </x:c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5" t="str">
        <x:v>Raw data preserved unchanged</x:v>
      </x:c>
      <x:c r="B13" s="15" t="str">
        <x:v>Not started</x:v>
      </x:c>
      <x:c r="C13" s="15"/>
      <x:c r="D13" s="15"/>
      <x:c r="E13" s="15"/>
      <x:c r="F13" s="15"/>
      <x:c r="G13" s="15"/>
      <x:c r="H13" s="15"/>
    </x:row>
    <x:row r="14">
      <x:c r="A14" s="15" t="str">
        <x:v>Excel Table or Power Query source created</x:v>
      </x:c>
      <x:c r="B14" s="15" t="str">
        <x:v>Not started</x:v>
      </x:c>
      <x:c r="C14" s="15"/>
      <x:c r="D14" s="15"/>
      <x:c r="E14" s="15"/>
      <x:c r="F14" s="15"/>
      <x:c r="G14" s="15"/>
      <x:c r="H14" s="15"/>
    </x:row>
    <x:row r="15">
      <x:c r="A15" s="15" t="str">
        <x:v>Date and number formats verified</x:v>
      </x:c>
      <x:c r="B15" s="15" t="str">
        <x:v>Not started</x:v>
      </x:c>
      <x:c r="C15" s="15"/>
      <x:c r="D15" s="15"/>
      <x:c r="E15" s="15"/>
      <x:c r="F15" s="15"/>
      <x:c r="G15" s="15"/>
      <x:c r="H15" s="15"/>
    </x:row>
    <x:row r="16">
      <x:c r="A16" s="15" t="str">
        <x:v>Core KPIs calculated and reconciled</x:v>
      </x:c>
      <x:c r="B16" s="15" t="str">
        <x:v>Not started</x:v>
      </x:c>
      <x:c r="C16" s="15"/>
      <x:c r="D16" s="15"/>
      <x:c r="E16" s="15"/>
      <x:c r="F16" s="15"/>
      <x:c r="G16" s="15"/>
      <x:c r="H16" s="15"/>
    </x:row>
    <x:row r="17">
      <x:c r="A17" s="15" t="str">
        <x:v>PivotTables or equivalent summaries built</x:v>
      </x:c>
      <x:c r="B17" s="15" t="str">
        <x:v>Not started</x:v>
      </x:c>
      <x:c r="C17" s="15"/>
      <x:c r="D17" s="15"/>
      <x:c r="E17" s="15"/>
      <x:c r="F17" s="15"/>
      <x:c r="G17" s="15"/>
      <x:c r="H17" s="15"/>
    </x:row>
    <x:row r="18">
      <x:c r="A18" s="15" t="str">
        <x:v>Charts selected for analytical purpose</x:v>
      </x:c>
      <x:c r="B18" s="15" t="str">
        <x:v>Not started</x:v>
      </x:c>
      <x:c r="C18" s="15"/>
      <x:c r="D18" s="15"/>
      <x:c r="E18" s="15"/>
      <x:c r="F18" s="15"/>
      <x:c r="G18" s="15"/>
      <x:c r="H18" s="15"/>
    </x:row>
    <x:row r="19">
      <x:c r="A19" s="15" t="str">
        <x:v>Filters/slicers work correctly</x:v>
      </x:c>
      <x:c r="B19" s="15" t="str">
        <x:v>Not started</x:v>
      </x:c>
      <x:c r="C19" s="15"/>
      <x:c r="D19" s="15"/>
      <x:c r="E19" s="15"/>
      <x:c r="F19" s="15"/>
      <x:c r="G19" s="15"/>
      <x:c r="H19" s="15"/>
    </x:row>
    <x:row r="20">
      <x:c r="A20" s="15" t="str">
        <x:v>Insights and limitations documented</x:v>
      </x:c>
      <x:c r="B20" s="15" t="str">
        <x:v>Not started</x:v>
      </x:c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6" t="str">
        <x:v>Insight writing frame</x:v>
      </x:c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5" t="str">
        <x:v>Observation</x:v>
      </x:c>
      <x:c r="B23" s="15" t="str">
        <x:v>What changed or differs?</x:v>
      </x:c>
      <x:c r="C23" s="15"/>
      <x:c r="D23" s="15"/>
      <x:c r="E23" s="15"/>
      <x:c r="F23" s="15"/>
      <x:c r="G23" s="15"/>
      <x:c r="H23" s="15"/>
    </x:row>
    <x:row r="24">
      <x:c r="A24" s="15" t="str">
        <x:v>Evidence</x:v>
      </x:c>
      <x:c r="B24" s="15" t="str">
        <x:v>Which metric and comparison support it?</x:v>
      </x:c>
      <x:c r="C24" s="15"/>
      <x:c r="D24" s="15"/>
      <x:c r="E24" s="15"/>
      <x:c r="F24" s="15"/>
      <x:c r="G24" s="15"/>
      <x:c r="H24" s="15"/>
    </x:row>
    <x:row r="25">
      <x:c r="A25" s="15" t="str">
        <x:v>Meaning</x:v>
      </x:c>
      <x:c r="B25" s="15" t="str">
        <x:v>Why could it matter to the stakeholder?</x:v>
      </x:c>
      <x:c r="C25" s="15"/>
      <x:c r="D25" s="15"/>
      <x:c r="E25" s="15"/>
      <x:c r="F25" s="15"/>
      <x:c r="G25" s="15"/>
      <x:c r="H25" s="15"/>
    </x:row>
    <x:row r="26">
      <x:c r="A26" s="15" t="str">
        <x:v>Recommendation</x:v>
      </x:c>
      <x:c r="B26" s="15" t="str">
        <x:v>What action should be considered?</x:v>
      </x:c>
      <x:c r="C26" s="15"/>
      <x:c r="D26" s="15"/>
      <x:c r="E26" s="15"/>
      <x:c r="F26" s="15"/>
      <x:c r="G26" s="15"/>
      <x:c r="H26" s="15"/>
    </x:row>
    <x:row r="27">
      <x:c r="A27" s="15" t="str">
        <x:v>Limitation</x:v>
      </x:c>
      <x:c r="B27" s="15" t="str">
        <x:v>What can the current data not establish?</x:v>
      </x:c>
      <x:c r="C27" s="15"/>
      <x:c r="D27" s="15"/>
      <x:c r="E27" s="15"/>
      <x:c r="F27" s="15"/>
      <x:c r="G27" s="15"/>
      <x:c r="H27" s="15"/>
    </x:row>
  </x:sheetData>
  <x:mergeCells>
    <x:mergeCell ref="A1:H2"/>
    <x:mergeCell ref="A12:H12"/>
    <x:mergeCell ref="A22:H22"/>
  </x:mergeCells>
  <x:conditionalFormatting sqref="B13:B20">
    <x:cfRule type="expression" dxfId="1" priority="1">
      <x:formula>B13="Complete"</x:formula>
    </x:cfRule>
  </x:conditionalFormatting>
  <x:dataValidations count="1">
    <x:dataValidation type="list" sqref="B13:B20">
      <x:formula1>"Not started,In progress,Complete"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4" t="str">
        <x:v>Answer Guide — use only after attempting the practice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3">
      <x:c r="A3" s="15"/>
      <x:c r="B3" s="15"/>
      <x:c r="C3" s="15"/>
      <x:c r="D3" s="15"/>
      <x:c r="E3" s="15"/>
      <x:c r="F3" s="15"/>
    </x:row>
    <x:row r="4">
      <x:c r="A4" s="34" t="str">
        <x:v>Topic</x:v>
      </x:c>
      <x:c r="B4" s="34" t="str">
        <x:v>Expected approach</x:v>
      </x:c>
      <x:c r="C4" s="15"/>
      <x:c r="D4" s="15"/>
      <x:c r="E4" s="15"/>
      <x:c r="F4" s="15"/>
    </x:row>
    <x:row r="5">
      <x:c r="A5" s="15" t="str">
        <x:v>Gross sales</x:v>
      </x:c>
      <x:c r="B5" s="15" t="str">
        <x:v>Quantity × Unit Price</x:v>
      </x:c>
      <x:c r="C5" s="15"/>
      <x:c r="D5" s="15"/>
      <x:c r="E5" s="15"/>
      <x:c r="F5" s="15"/>
    </x:row>
    <x:row r="6">
      <x:c r="A6" s="15" t="str">
        <x:v>Target met</x:v>
      </x:c>
      <x:c r="B6" s="15" t="str">
        <x:v>IF with a clear threshold</x:v>
      </x:c>
      <x:c r="C6" s="15"/>
      <x:c r="D6" s="15"/>
      <x:c r="E6" s="15"/>
      <x:c r="F6" s="15"/>
    </x:row>
    <x:row r="7">
      <x:c r="A7" s="15" t="str">
        <x:v>Absolute reference</x:v>
      </x:c>
      <x:c r="B7" s="15" t="str">
        <x:v>Use $ signs to lock the tax-rate cell</x:v>
      </x:c>
      <x:c r="C7" s="15"/>
      <x:c r="D7" s="15"/>
      <x:c r="E7" s="15"/>
      <x:c r="F7" s="15"/>
    </x:row>
    <x:row r="8">
      <x:c r="A8" s="15" t="str">
        <x:v>Conditional aggregation</x:v>
      </x:c>
      <x:c r="B8" s="15" t="str">
        <x:v>Use SUMIFS with Region and Product criteria</x:v>
      </x:c>
      <x:c r="C8" s="15"/>
      <x:c r="D8" s="15"/>
      <x:c r="E8" s="15"/>
      <x:c r="F8" s="15"/>
    </x:row>
    <x:row r="9">
      <x:c r="A9" s="15" t="str">
        <x:v>Lookup</x:v>
      </x:c>
      <x:c r="B9" s="15" t="str">
        <x:v>Use XLOOKUP with Product_Lookup as the source</x:v>
      </x:c>
      <x:c r="C9" s="15"/>
      <x:c r="D9" s="15"/>
      <x:c r="E9" s="15"/>
      <x:c r="F9" s="15"/>
    </x:row>
    <x:row r="10">
      <x:c r="A10" s="15" t="str">
        <x:v>Dynamic array</x:v>
      </x:c>
      <x:c r="B10" s="15" t="str">
        <x:v>Use FILTER with Gross Sales &gt; threshold</x:v>
      </x:c>
      <x:c r="C10" s="15"/>
      <x:c r="D10" s="15"/>
      <x:c r="E10" s="15"/>
      <x:c r="F10" s="15"/>
    </x:row>
    <x:row r="11">
      <x:c r="A11" s="15" t="str">
        <x:v>Text cleanup</x:v>
      </x:c>
      <x:c r="B11" s="15" t="str">
        <x:v>TRIM + PROPER; consider CLEAN for nonprinting characters</x:v>
      </x:c>
      <x:c r="C11" s="15"/>
      <x:c r="D11" s="15"/>
      <x:c r="E11" s="15"/>
      <x:c r="F11" s="15"/>
    </x:row>
    <x:row r="12">
      <x:c r="A12" s="15" t="str">
        <x:v>Validation</x:v>
      </x:c>
      <x:c r="B12" s="15" t="str">
        <x:v>Use dropdown lists for controlled categorical values</x:v>
      </x:c>
      <x:c r="C12" s="15"/>
      <x:c r="D12" s="15"/>
      <x:c r="E12" s="15"/>
      <x:c r="F12" s="15"/>
    </x:row>
    <x:row r="13">
      <x:c r="A13" s="15" t="str">
        <x:v>Final project</x:v>
      </x:c>
      <x:c r="B13" s="15" t="str">
        <x:v>Reconcile totals before publishing any chart or insight</x:v>
      </x:c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</x:sheetData>
  <x:mergeCells>
    <x:mergeCell ref="A1:F2"/>
  </x:mergeCells>
  <x:pageMargins left="0.7" right="0.7" top="0.75" bottom="0.75" header="0.3" footer="0.3"/>
</x:worksheet>
</file>